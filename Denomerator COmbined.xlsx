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damawa_sample" sheetId="2" r:id="rId6"/>
    <sheet state="visible" name="Sheet8" sheetId="3" r:id="rId7"/>
    <sheet state="visible" name="enumeration_kad_bau_ada_gombe_y" sheetId="4" r:id="rId8"/>
    <sheet state="visible" name="ie_records" sheetId="5" r:id="rId9"/>
    <sheet state="visible" name="world_pop" sheetId="6" r:id="rId10"/>
    <sheet state="visible" name="mda_last_round" sheetId="7" r:id="rId11"/>
    <sheet state="visible" name="immuization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tc={bc8e42e0-997a-489a-a400-4b86d31a24fb}</author>
  </authors>
  <commentList>
    <comment authorId="0" xr:uid="{bc8e42e0-997a-489a-a400-4b86d31a24f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@benjamin.shaibu@ehealthnigeria.org 
Us this to update the streamlite.
This is going out tomorrow
Assigned to benjamin.shaibu@ehealthnigeria.org
</t>
      </text>
    </comment>
  </commentList>
</comments>
</file>

<file path=xl/sharedStrings.xml><?xml version="1.0" encoding="utf-8"?>
<sst xmlns="http://schemas.openxmlformats.org/spreadsheetml/2006/main" count="4489" uniqueCount="987">
  <si>
    <t>state</t>
  </si>
  <si>
    <t>lganame</t>
  </si>
  <si>
    <t>uu_code</t>
  </si>
  <si>
    <t>ie_data</t>
  </si>
  <si>
    <t>Enumeration</t>
  </si>
  <si>
    <t>world_pop</t>
  </si>
  <si>
    <t>mda_last round coverage</t>
  </si>
  <si>
    <t>immunization_last round</t>
  </si>
  <si>
    <t>Adamawa</t>
  </si>
  <si>
    <t>Demsa</t>
  </si>
  <si>
    <t>ADAMAWA_DEMSA</t>
  </si>
  <si>
    <t>Fufore</t>
  </si>
  <si>
    <t>ADAMAWA_FUFORE</t>
  </si>
  <si>
    <t>Ganye</t>
  </si>
  <si>
    <t>ADAMAWA_GANYE</t>
  </si>
  <si>
    <t>Girei</t>
  </si>
  <si>
    <t>ADAMAWA_GIREI</t>
  </si>
  <si>
    <t>Gombi</t>
  </si>
  <si>
    <t>ADAMAWA_GOMBI</t>
  </si>
  <si>
    <t>Guyuk</t>
  </si>
  <si>
    <t>ADAMAWA_GUYUK</t>
  </si>
  <si>
    <t>Hong</t>
  </si>
  <si>
    <t>ADAMAWA_HONG</t>
  </si>
  <si>
    <t>Jada</t>
  </si>
  <si>
    <t>ADAMAWA_JADA</t>
  </si>
  <si>
    <t>Lamurde</t>
  </si>
  <si>
    <t>ADAMAWA_LAMURDE</t>
  </si>
  <si>
    <t>Madagali</t>
  </si>
  <si>
    <t>ADAMAWA_MADAGALI</t>
  </si>
  <si>
    <t>Maiha</t>
  </si>
  <si>
    <t>ADAMAWA_MAIHA</t>
  </si>
  <si>
    <t>Mayo-Belwa</t>
  </si>
  <si>
    <t>ADAMAWA_MAYO BELWA</t>
  </si>
  <si>
    <t>Michika</t>
  </si>
  <si>
    <t>ADAMAWA_MICHIKA</t>
  </si>
  <si>
    <t>Mubi North</t>
  </si>
  <si>
    <t>ADAMAWA_MUBI NORTH</t>
  </si>
  <si>
    <t>Mubi South</t>
  </si>
  <si>
    <t>ADAMAWA_MUBI SOUTH</t>
  </si>
  <si>
    <t>Numan</t>
  </si>
  <si>
    <t>ADAMAWA_NUMAN</t>
  </si>
  <si>
    <t>Shelleng</t>
  </si>
  <si>
    <t>ADAMAWA_SHELLENG</t>
  </si>
  <si>
    <t>Song</t>
  </si>
  <si>
    <t>ADAMAWA_SONG</t>
  </si>
  <si>
    <t>Toungo</t>
  </si>
  <si>
    <t>ADAMAWA_TOUNGO</t>
  </si>
  <si>
    <t>Yola North</t>
  </si>
  <si>
    <t>ADAMAWA_YOLA NORTH</t>
  </si>
  <si>
    <t>Yola South</t>
  </si>
  <si>
    <t>ADAMAWA_YOLA SOUTH</t>
  </si>
  <si>
    <t>Bauchi</t>
  </si>
  <si>
    <t>Alkaleri</t>
  </si>
  <si>
    <t>BAUCHI_ALKALERI</t>
  </si>
  <si>
    <t>BAUCHI_BAUCHI</t>
  </si>
  <si>
    <t>Bogoro</t>
  </si>
  <si>
    <t>BAUCHI_BOGORO</t>
  </si>
  <si>
    <t>Damban</t>
  </si>
  <si>
    <t>BAUCHI_DAMBAM</t>
  </si>
  <si>
    <t>Darazo</t>
  </si>
  <si>
    <t>BAUCHI_DARAZO</t>
  </si>
  <si>
    <t>Dass</t>
  </si>
  <si>
    <t>BAUCHI_DASS</t>
  </si>
  <si>
    <t>Gamawa</t>
  </si>
  <si>
    <t>BAUCHI_GAMAWA</t>
  </si>
  <si>
    <t>Ganjuwa</t>
  </si>
  <si>
    <t>BAUCHI_GANJUWA</t>
  </si>
  <si>
    <t>Giade</t>
  </si>
  <si>
    <t>BAUCHI_GIADE</t>
  </si>
  <si>
    <t>Itas/Gadau</t>
  </si>
  <si>
    <t>BAUCHI_ITAS GADAU</t>
  </si>
  <si>
    <t>Jama'are</t>
  </si>
  <si>
    <t>BAUCHI_JAMA'ARE</t>
  </si>
  <si>
    <t>Katagum</t>
  </si>
  <si>
    <t>BAUCHI_KATAGUM</t>
  </si>
  <si>
    <t>Kirfi</t>
  </si>
  <si>
    <t>BAUCHI_KIRFI</t>
  </si>
  <si>
    <t>Misau</t>
  </si>
  <si>
    <t>BAUCHI_MISAU</t>
  </si>
  <si>
    <t>Ningi</t>
  </si>
  <si>
    <t>BAUCHI_NINGI</t>
  </si>
  <si>
    <t>Shira</t>
  </si>
  <si>
    <t>BAUCHI_SHIRA</t>
  </si>
  <si>
    <t>Tafawa-Balewa</t>
  </si>
  <si>
    <t>BAUCHI_TAFAWA BALEWA</t>
  </si>
  <si>
    <t>Toro</t>
  </si>
  <si>
    <t>BAUCHI_TORO</t>
  </si>
  <si>
    <t>Warji</t>
  </si>
  <si>
    <t>BAUCHI_WARJI</t>
  </si>
  <si>
    <t>Zaki</t>
  </si>
  <si>
    <t>BAUCHI_ZAKI</t>
  </si>
  <si>
    <t>Gombe</t>
  </si>
  <si>
    <t>Akko</t>
  </si>
  <si>
    <t>GOMBE_AKKO</t>
  </si>
  <si>
    <t>Balanga</t>
  </si>
  <si>
    <t>GOMBE_BALANGA</t>
  </si>
  <si>
    <t>Billiri</t>
  </si>
  <si>
    <t>GOMBE_BILLIRI</t>
  </si>
  <si>
    <t>Dukku</t>
  </si>
  <si>
    <t>GOMBE_DUKKU</t>
  </si>
  <si>
    <t>Funakaye</t>
  </si>
  <si>
    <t>GOMBE_FUNAKAYE</t>
  </si>
  <si>
    <t>GOMBE_GOMBE</t>
  </si>
  <si>
    <t>Kaltungo</t>
  </si>
  <si>
    <t>GOMBE_KALTUNGO</t>
  </si>
  <si>
    <t>Kwami</t>
  </si>
  <si>
    <t>GOMBE_KWAMI</t>
  </si>
  <si>
    <t>Nafada</t>
  </si>
  <si>
    <t>GOMBE_NAFADA</t>
  </si>
  <si>
    <t>Shomgom</t>
  </si>
  <si>
    <t>GOMBE_SHONGOM</t>
  </si>
  <si>
    <t>Yamaltu/Deba</t>
  </si>
  <si>
    <t>GOMBE_YAMALTU-DEBA</t>
  </si>
  <si>
    <t>Jigawa</t>
  </si>
  <si>
    <t>Auyo</t>
  </si>
  <si>
    <t>JIGAWA_AUYO</t>
  </si>
  <si>
    <t>Babura</t>
  </si>
  <si>
    <t>JIGAWA_BABURA</t>
  </si>
  <si>
    <t>Birnin Kudu</t>
  </si>
  <si>
    <t>JIGAWA_BIRNIN KUDU</t>
  </si>
  <si>
    <t>Birniwa</t>
  </si>
  <si>
    <t>JIGAWA_BIRNIWA</t>
  </si>
  <si>
    <t>Buji</t>
  </si>
  <si>
    <t>JIGAWA_BUJI</t>
  </si>
  <si>
    <t>Dutse</t>
  </si>
  <si>
    <t>JIGAWA_DUTSE</t>
  </si>
  <si>
    <t>Gagarawa</t>
  </si>
  <si>
    <t>JIGAWA_GAGARAWA</t>
  </si>
  <si>
    <t>Garki</t>
  </si>
  <si>
    <t>JIGAWA_GARKI</t>
  </si>
  <si>
    <t>Gumel</t>
  </si>
  <si>
    <t>JIGAWA_GUMEL</t>
  </si>
  <si>
    <t>Guri</t>
  </si>
  <si>
    <t>JIGAWA_GURI</t>
  </si>
  <si>
    <t>Gwaram</t>
  </si>
  <si>
    <t>JIGAWA_GWARAM</t>
  </si>
  <si>
    <t>Gwiwa</t>
  </si>
  <si>
    <t>JIGAWA_GWIWA</t>
  </si>
  <si>
    <t>Hadejia</t>
  </si>
  <si>
    <t>JIGAWA_HADEJIA</t>
  </si>
  <si>
    <t>Jahun</t>
  </si>
  <si>
    <t>JIGAWA_JAHUN</t>
  </si>
  <si>
    <t>Kafin Hausa</t>
  </si>
  <si>
    <t>JIGAWA_KAFIN HAUSA</t>
  </si>
  <si>
    <t>Kaugama</t>
  </si>
  <si>
    <t>JIGAWA_KAUGAMA</t>
  </si>
  <si>
    <t>Kazaure</t>
  </si>
  <si>
    <t>JIGAWA_KAZAURE</t>
  </si>
  <si>
    <t>Kiri Kasamma</t>
  </si>
  <si>
    <t>JIGAWA_KIRI KASAMA</t>
  </si>
  <si>
    <t>Kiyawa</t>
  </si>
  <si>
    <t>JIGAWA_KIYAWA</t>
  </si>
  <si>
    <t>Maigatari</t>
  </si>
  <si>
    <t>JIGAWA_MAIGATARI</t>
  </si>
  <si>
    <t>Malam Madori</t>
  </si>
  <si>
    <t>JIGAWA_MALAM MADORI</t>
  </si>
  <si>
    <t>Miga</t>
  </si>
  <si>
    <t>JIGAWA_MIGA</t>
  </si>
  <si>
    <t>Ringim</t>
  </si>
  <si>
    <t>JIGAWA_RINGIM</t>
  </si>
  <si>
    <t>Roni</t>
  </si>
  <si>
    <t>JIGAWA_RONI</t>
  </si>
  <si>
    <t>Sule Tankarkar</t>
  </si>
  <si>
    <t>JIGAWA_SULE TANKARKAR</t>
  </si>
  <si>
    <t>Taura</t>
  </si>
  <si>
    <t>JIGAWA_TAURA</t>
  </si>
  <si>
    <t>Yankwashi</t>
  </si>
  <si>
    <t>JIGAWA_YANKWASHI</t>
  </si>
  <si>
    <t>Kaduna</t>
  </si>
  <si>
    <t>Birnin Gwari</t>
  </si>
  <si>
    <t>KADUNA_BIRNIN GWARI</t>
  </si>
  <si>
    <t>Chikun</t>
  </si>
  <si>
    <t>KADUNA_CHIKUN</t>
  </si>
  <si>
    <t>Giwa</t>
  </si>
  <si>
    <t>KADUNA_GIWA</t>
  </si>
  <si>
    <t>Igabi</t>
  </si>
  <si>
    <t>KADUNA_IGABI</t>
  </si>
  <si>
    <t>Ikara</t>
  </si>
  <si>
    <t>KADUNA_IKARA</t>
  </si>
  <si>
    <t>Jaba</t>
  </si>
  <si>
    <t>KADUNA_JABA</t>
  </si>
  <si>
    <t>Jema'A</t>
  </si>
  <si>
    <t>KADUNA_JEMAA</t>
  </si>
  <si>
    <t>Kachia</t>
  </si>
  <si>
    <t>KADUNA_KACHIA</t>
  </si>
  <si>
    <t>Kaduna North</t>
  </si>
  <si>
    <t>KADUNA_KADUNA NORTH</t>
  </si>
  <si>
    <t>Kaduna South</t>
  </si>
  <si>
    <t>KADUNA_KADUNA SOUTH</t>
  </si>
  <si>
    <t>Kagarko</t>
  </si>
  <si>
    <t>KADUNA_KAGARKO</t>
  </si>
  <si>
    <t>Kajuru</t>
  </si>
  <si>
    <t>KADUNA_KAJURU</t>
  </si>
  <si>
    <t>Kaura</t>
  </si>
  <si>
    <t>KADUNA_KAURA</t>
  </si>
  <si>
    <t>Kauru</t>
  </si>
  <si>
    <t>KADUNA_KAURU</t>
  </si>
  <si>
    <t>Kubau</t>
  </si>
  <si>
    <t>KADUNA_KUBAU</t>
  </si>
  <si>
    <t>Kudan</t>
  </si>
  <si>
    <t>KADUNA_KUDAN</t>
  </si>
  <si>
    <t>Lere</t>
  </si>
  <si>
    <t>KADUNA_LERE</t>
  </si>
  <si>
    <t>Makarfi</t>
  </si>
  <si>
    <t>KADUNA_MAKARFI</t>
  </si>
  <si>
    <t>Sabon Gari</t>
  </si>
  <si>
    <t>KADUNA_SABON GARI</t>
  </si>
  <si>
    <t>Sanga</t>
  </si>
  <si>
    <t>KADUNA_SANGA</t>
  </si>
  <si>
    <t>Soba</t>
  </si>
  <si>
    <t>KADUNA_SOBA</t>
  </si>
  <si>
    <t>Zangon Kataf</t>
  </si>
  <si>
    <t>KADUNA_ZANGON KATAF</t>
  </si>
  <si>
    <t>Zaria</t>
  </si>
  <si>
    <t>KADUNA_ZARIA</t>
  </si>
  <si>
    <t>Kano</t>
  </si>
  <si>
    <t>Ajingi</t>
  </si>
  <si>
    <t>KANO_AJINGI</t>
  </si>
  <si>
    <t>NA</t>
  </si>
  <si>
    <t>Albasu</t>
  </si>
  <si>
    <t>KANO_ALBASU</t>
  </si>
  <si>
    <t>Bagwai</t>
  </si>
  <si>
    <t>KANO_BAGWAI</t>
  </si>
  <si>
    <t>Bebeji</t>
  </si>
  <si>
    <t>KANO_BEBEJI</t>
  </si>
  <si>
    <t>Bichi</t>
  </si>
  <si>
    <t>KANO_BICHI</t>
  </si>
  <si>
    <t>Bunkure</t>
  </si>
  <si>
    <t>KANO_BUNKURE</t>
  </si>
  <si>
    <t>Dala</t>
  </si>
  <si>
    <t>KANO_DALA</t>
  </si>
  <si>
    <t>Dambatta</t>
  </si>
  <si>
    <t>KANO_DAMBATTA</t>
  </si>
  <si>
    <t>Dawakin Kudu</t>
  </si>
  <si>
    <t>KANO_DAWAKIN KUDU</t>
  </si>
  <si>
    <t>Dawakin Tofa</t>
  </si>
  <si>
    <t>KANO_DAWAKIN TOFA</t>
  </si>
  <si>
    <t>Doguwa</t>
  </si>
  <si>
    <t>KANO_DOGUWA</t>
  </si>
  <si>
    <t>Fagge</t>
  </si>
  <si>
    <t>KANO_FAGGE</t>
  </si>
  <si>
    <t>Gabasawa</t>
  </si>
  <si>
    <t>KANO_GABASAWA</t>
  </si>
  <si>
    <t>Garko</t>
  </si>
  <si>
    <t>KANO_GARKO</t>
  </si>
  <si>
    <t>Garum Mallam</t>
  </si>
  <si>
    <t>KANO_GARUM MALLAM</t>
  </si>
  <si>
    <t>Gaya</t>
  </si>
  <si>
    <t>KANO_GAYA</t>
  </si>
  <si>
    <t>Gezawa</t>
  </si>
  <si>
    <t>KANO_GEZAWA</t>
  </si>
  <si>
    <t>Gwale</t>
  </si>
  <si>
    <t>KANO_GWALE</t>
  </si>
  <si>
    <t>Gwarzo</t>
  </si>
  <si>
    <t>KANO_GWARZO</t>
  </si>
  <si>
    <t>Kabo</t>
  </si>
  <si>
    <t>KANO_KABO</t>
  </si>
  <si>
    <t>Kano Municipal</t>
  </si>
  <si>
    <t>KANO_KANO MUNICIPAL</t>
  </si>
  <si>
    <t>Karaye</t>
  </si>
  <si>
    <t>KANO_KARAYE</t>
  </si>
  <si>
    <t>Kibiya</t>
  </si>
  <si>
    <t>KANO_KIBIYA</t>
  </si>
  <si>
    <t>Kiru</t>
  </si>
  <si>
    <t>KANO_KIRU</t>
  </si>
  <si>
    <t>Kumbotso</t>
  </si>
  <si>
    <t>KANO_KUMBOTSO</t>
  </si>
  <si>
    <t>Kunchi</t>
  </si>
  <si>
    <t>KANO_KUNCHI</t>
  </si>
  <si>
    <t>Kura</t>
  </si>
  <si>
    <t>KANO_KURA</t>
  </si>
  <si>
    <t>Madobi</t>
  </si>
  <si>
    <t>KANO_MADOBI</t>
  </si>
  <si>
    <t>Makoda</t>
  </si>
  <si>
    <t>KANO_MAKODA</t>
  </si>
  <si>
    <t>Minjibir</t>
  </si>
  <si>
    <t>KANO_MINJIBIR</t>
  </si>
  <si>
    <t>Nassarawa</t>
  </si>
  <si>
    <t>KANO_NASSARAWA</t>
  </si>
  <si>
    <t>Rano</t>
  </si>
  <si>
    <t>KANO_RANO</t>
  </si>
  <si>
    <t>Rimin Gado</t>
  </si>
  <si>
    <t>KANO_RIMIN GADO</t>
  </si>
  <si>
    <t>Rogo</t>
  </si>
  <si>
    <t>KANO_ROGO</t>
  </si>
  <si>
    <t>Shanono</t>
  </si>
  <si>
    <t>KANO_SHANONO</t>
  </si>
  <si>
    <t>Sumaila</t>
  </si>
  <si>
    <t>KANO_SUMAILA</t>
  </si>
  <si>
    <t>Takai</t>
  </si>
  <si>
    <t>KANO_TAKAI</t>
  </si>
  <si>
    <t>Tarauni</t>
  </si>
  <si>
    <t>KANO_TARAUNI</t>
  </si>
  <si>
    <t>Tofa</t>
  </si>
  <si>
    <t>KANO_TOFA</t>
  </si>
  <si>
    <t>Tsanyawa</t>
  </si>
  <si>
    <t>KANO_TSANYAWA</t>
  </si>
  <si>
    <t>Tudun Wada</t>
  </si>
  <si>
    <t>KANO_TUDUN WADA</t>
  </si>
  <si>
    <t>Ungogo</t>
  </si>
  <si>
    <t>KANO_UNGOGO</t>
  </si>
  <si>
    <t>Warawa</t>
  </si>
  <si>
    <t>KANO_WARAWA</t>
  </si>
  <si>
    <t>Wudil</t>
  </si>
  <si>
    <t>KANO_WUDIL</t>
  </si>
  <si>
    <t>Katsina</t>
  </si>
  <si>
    <t>Bakori</t>
  </si>
  <si>
    <t>KATSINA_BAKORI</t>
  </si>
  <si>
    <t>Batagarawa</t>
  </si>
  <si>
    <t>KATSINA_BATAGARAWA</t>
  </si>
  <si>
    <t>Batsari</t>
  </si>
  <si>
    <t>KATSINA_BATSARI</t>
  </si>
  <si>
    <t>Baure</t>
  </si>
  <si>
    <t>KATSINA_BAURE</t>
  </si>
  <si>
    <t>Bindawa</t>
  </si>
  <si>
    <t>KATSINA_BINDAWA</t>
  </si>
  <si>
    <t>Charanchi</t>
  </si>
  <si>
    <t>KATSINA_CHARANCHI</t>
  </si>
  <si>
    <t>Dan Musa</t>
  </si>
  <si>
    <t>KATSINA_DAN MUSA</t>
  </si>
  <si>
    <t>Dandume</t>
  </si>
  <si>
    <t>KATSINA_DANDUME</t>
  </si>
  <si>
    <t>Danja</t>
  </si>
  <si>
    <t>KATSINA_DANJA</t>
  </si>
  <si>
    <t>Daura</t>
  </si>
  <si>
    <t>KATSINA_DAURA</t>
  </si>
  <si>
    <t>Dutsi</t>
  </si>
  <si>
    <t>KATSINA_DUTSI</t>
  </si>
  <si>
    <t>Dutsin Ma</t>
  </si>
  <si>
    <t>KATSINA_DUTSIN MA</t>
  </si>
  <si>
    <t>Faskari</t>
  </si>
  <si>
    <t>KATSINA_FASKARI</t>
  </si>
  <si>
    <t>Funtua</t>
  </si>
  <si>
    <t>KATSINA_FUNTUA</t>
  </si>
  <si>
    <t>Ingawa</t>
  </si>
  <si>
    <t>KATSINA_INGAWA</t>
  </si>
  <si>
    <t>Jibia</t>
  </si>
  <si>
    <t>KATSINA_JIBIA</t>
  </si>
  <si>
    <t>Kafur</t>
  </si>
  <si>
    <t>KATSINA_KAFUR</t>
  </si>
  <si>
    <t>Kaita</t>
  </si>
  <si>
    <t>KATSINA_KAITA</t>
  </si>
  <si>
    <t>Kankara</t>
  </si>
  <si>
    <t>KATSINA_KANKARA</t>
  </si>
  <si>
    <t>Kankia</t>
  </si>
  <si>
    <t>KATSINA_KANKIA</t>
  </si>
  <si>
    <t>KATSINA_KATSINA</t>
  </si>
  <si>
    <t>Kurfi</t>
  </si>
  <si>
    <t>KATSINA_KURFI</t>
  </si>
  <si>
    <t>Kusada</t>
  </si>
  <si>
    <t>KATSINA_KUSADA</t>
  </si>
  <si>
    <t>Mai'Adua</t>
  </si>
  <si>
    <t>KATSINA_MAI'ADUA</t>
  </si>
  <si>
    <t>Malumfashi</t>
  </si>
  <si>
    <t>KATSINA_MALUMFASHI</t>
  </si>
  <si>
    <t>Mani</t>
  </si>
  <si>
    <t>KATSINA_MANI</t>
  </si>
  <si>
    <t>Mashi</t>
  </si>
  <si>
    <t>KATSINA_MASHI</t>
  </si>
  <si>
    <t>Matazu</t>
  </si>
  <si>
    <t>KATSINA_MATAZU</t>
  </si>
  <si>
    <t>Musawa</t>
  </si>
  <si>
    <t>KATSINA_MUSAWA</t>
  </si>
  <si>
    <t>Rimi</t>
  </si>
  <si>
    <t>KATSINA_RIMI</t>
  </si>
  <si>
    <t>Sabuwa</t>
  </si>
  <si>
    <t>KATSINA_SABUWA</t>
  </si>
  <si>
    <t>Safana</t>
  </si>
  <si>
    <t>KATSINA_SAFANA</t>
  </si>
  <si>
    <t>Sandamu</t>
  </si>
  <si>
    <t>KATSINA_SANDAMU</t>
  </si>
  <si>
    <t>Zango</t>
  </si>
  <si>
    <t>KATSINA_ZANGO</t>
  </si>
  <si>
    <t>Kebbi</t>
  </si>
  <si>
    <t>Aleiro</t>
  </si>
  <si>
    <t>KEBBI_ALEIRO</t>
  </si>
  <si>
    <t>Arewa Dandi</t>
  </si>
  <si>
    <t>KEBBI_AREWA DANDI</t>
  </si>
  <si>
    <t>Argungu</t>
  </si>
  <si>
    <t>KEBBI_ARGUNGU</t>
  </si>
  <si>
    <t>Augie</t>
  </si>
  <si>
    <t>KEBBI_AUGIE</t>
  </si>
  <si>
    <t>Bagudo</t>
  </si>
  <si>
    <t>KEBBI_BAGUDO</t>
  </si>
  <si>
    <t>Birnin Kebbi</t>
  </si>
  <si>
    <t>KEBBI_BIRNIN KEBBI</t>
  </si>
  <si>
    <t>Bunza</t>
  </si>
  <si>
    <t>KEBBI_BUNZA</t>
  </si>
  <si>
    <t>Dandi</t>
  </si>
  <si>
    <t>KEBBI_DANDI</t>
  </si>
  <si>
    <t>Fakai</t>
  </si>
  <si>
    <t>KEBBI_FAKAI</t>
  </si>
  <si>
    <t>Gwandu</t>
  </si>
  <si>
    <t>KEBBI_GWANDU</t>
  </si>
  <si>
    <t>Jega</t>
  </si>
  <si>
    <t>KEBBI_JEGA</t>
  </si>
  <si>
    <t>Kalgo</t>
  </si>
  <si>
    <t>KEBBI_KALGO</t>
  </si>
  <si>
    <t>Koko/Besse</t>
  </si>
  <si>
    <t>KEBBI_KOKO/BESSE</t>
  </si>
  <si>
    <t>Maiyama</t>
  </si>
  <si>
    <t>KEBBI_MAIYAMA</t>
  </si>
  <si>
    <t>Ngaski</t>
  </si>
  <si>
    <t>KEBBI_NGASKI</t>
  </si>
  <si>
    <t>Sakaba</t>
  </si>
  <si>
    <t>KEBBI_SAKABA</t>
  </si>
  <si>
    <t>Shanga</t>
  </si>
  <si>
    <t>KEBBI_SHANGA</t>
  </si>
  <si>
    <t>Suru</t>
  </si>
  <si>
    <t>KEBBI_SURU</t>
  </si>
  <si>
    <t>Wasagu/Danko</t>
  </si>
  <si>
    <t>KEBBI_WASAGU-DANKO</t>
  </si>
  <si>
    <t>Yauri</t>
  </si>
  <si>
    <t>KEBBI_YAURI</t>
  </si>
  <si>
    <t>Zuru</t>
  </si>
  <si>
    <t>KEBBI_ZURU</t>
  </si>
  <si>
    <t>Sokoto</t>
  </si>
  <si>
    <t>Binji</t>
  </si>
  <si>
    <t>SOKOTO_BINJI</t>
  </si>
  <si>
    <t>Bodinga</t>
  </si>
  <si>
    <t>SOKOTO_BODINGA</t>
  </si>
  <si>
    <t>Dange-Shuni</t>
  </si>
  <si>
    <t>SOKOTO_DANGE SHUNI</t>
  </si>
  <si>
    <t>Gada</t>
  </si>
  <si>
    <t>SOKOTO_GADA</t>
  </si>
  <si>
    <t>Goronyo</t>
  </si>
  <si>
    <t>SOKOTO_GORONYO</t>
  </si>
  <si>
    <t>Gudu</t>
  </si>
  <si>
    <t>SOKOTO_GUDU</t>
  </si>
  <si>
    <t>Gwadabawa</t>
  </si>
  <si>
    <t>SOKOTO_GWADABAWA</t>
  </si>
  <si>
    <t>Illela</t>
  </si>
  <si>
    <t>SOKOTO_ILLELA</t>
  </si>
  <si>
    <t>Isa</t>
  </si>
  <si>
    <t>SOKOTO_ISA</t>
  </si>
  <si>
    <t>Kebbe</t>
  </si>
  <si>
    <t>SOKOTO_KEBBE</t>
  </si>
  <si>
    <t>Kware</t>
  </si>
  <si>
    <t>SOKOTO_KWARE</t>
  </si>
  <si>
    <t>Rabah</t>
  </si>
  <si>
    <t>SOKOTO_RABAH</t>
  </si>
  <si>
    <t>Sabon Birni</t>
  </si>
  <si>
    <t>SOKOTO_SABON BIRNI</t>
  </si>
  <si>
    <t>Shagari</t>
  </si>
  <si>
    <t>SOKOTO_SHAGARI</t>
  </si>
  <si>
    <t>Silame</t>
  </si>
  <si>
    <t>SOKOTO_SILAME</t>
  </si>
  <si>
    <t>Sokoto North</t>
  </si>
  <si>
    <t>SOKOTO_SOKOTO NORTH</t>
  </si>
  <si>
    <t>Sokoto South</t>
  </si>
  <si>
    <t>SOKOTO_SOKOTO SOUTH</t>
  </si>
  <si>
    <t>Tambuwal</t>
  </si>
  <si>
    <t>SOKOTO_TAMBUWAL</t>
  </si>
  <si>
    <t>Tangaza</t>
  </si>
  <si>
    <t>SOKOTO_TANGAZA</t>
  </si>
  <si>
    <t>Tureta</t>
  </si>
  <si>
    <t>SOKOTO_TURETA</t>
  </si>
  <si>
    <t>Wamakko</t>
  </si>
  <si>
    <t>SOKOTO_WAMAKKO</t>
  </si>
  <si>
    <t>Wurno</t>
  </si>
  <si>
    <t>SOKOTO_WURNO</t>
  </si>
  <si>
    <t>Yabo</t>
  </si>
  <si>
    <t>SOKOTO_YABO</t>
  </si>
  <si>
    <t>Yobe</t>
  </si>
  <si>
    <t>Bade</t>
  </si>
  <si>
    <t>YOBE_BADE</t>
  </si>
  <si>
    <t>Bursari</t>
  </si>
  <si>
    <t>YOBE_BURSARI</t>
  </si>
  <si>
    <t>Damaturu</t>
  </si>
  <si>
    <t>YOBE_DAMATURU</t>
  </si>
  <si>
    <t>Fika</t>
  </si>
  <si>
    <t>YOBE_FIKA</t>
  </si>
  <si>
    <t>Fune</t>
  </si>
  <si>
    <t>YOBE_FUNE</t>
  </si>
  <si>
    <t>Geidam</t>
  </si>
  <si>
    <t>YOBE_GEIDAM</t>
  </si>
  <si>
    <t>Gujba</t>
  </si>
  <si>
    <t>YOBE_GUJBA</t>
  </si>
  <si>
    <t>Gulani</t>
  </si>
  <si>
    <t>YOBE_GULANI</t>
  </si>
  <si>
    <t>Jakusko</t>
  </si>
  <si>
    <t>YOBE_JAKUSKO</t>
  </si>
  <si>
    <t>Karasuwa</t>
  </si>
  <si>
    <t>YOBE_KARASUWA</t>
  </si>
  <si>
    <t>Machina</t>
  </si>
  <si>
    <t>YOBE_MACHINA</t>
  </si>
  <si>
    <t>Nangere</t>
  </si>
  <si>
    <t>YOBE_NANGERE</t>
  </si>
  <si>
    <t>Nguru</t>
  </si>
  <si>
    <t>YOBE_NGURU</t>
  </si>
  <si>
    <t>Potiskum</t>
  </si>
  <si>
    <t>YOBE_POTISKUM</t>
  </si>
  <si>
    <t>Tarmuwa</t>
  </si>
  <si>
    <t>YOBE_TARMUWA</t>
  </si>
  <si>
    <t>Yunusari</t>
  </si>
  <si>
    <t>YOBE_YUNUSARI</t>
  </si>
  <si>
    <t>Yusufari</t>
  </si>
  <si>
    <t>YOBE_YUSUFARI</t>
  </si>
  <si>
    <t>Zamfara</t>
  </si>
  <si>
    <t>Anka</t>
  </si>
  <si>
    <t>ZAMFARA_ANKA</t>
  </si>
  <si>
    <t>Bakura</t>
  </si>
  <si>
    <t>ZAMFARA_BAKURA</t>
  </si>
  <si>
    <t>Birnin Magaji/Kiyaw</t>
  </si>
  <si>
    <t>ZAMFARA_BIRNIN_MAGAJI-KIYAW</t>
  </si>
  <si>
    <t>Bukkuyum</t>
  </si>
  <si>
    <t>ZAMFARA_BUKKUYUM</t>
  </si>
  <si>
    <t>Bungudu</t>
  </si>
  <si>
    <t>ZAMFARA_BUNGUDU</t>
  </si>
  <si>
    <t>Gummi</t>
  </si>
  <si>
    <t>ZAMFARA_GUMMI</t>
  </si>
  <si>
    <t>Gusau</t>
  </si>
  <si>
    <t>ZAMFARA_GUSAU</t>
  </si>
  <si>
    <t>Kaura Namoda</t>
  </si>
  <si>
    <t>ZAMFARA_KAURA NAMODA</t>
  </si>
  <si>
    <t>Maradun</t>
  </si>
  <si>
    <t>ZAMFARA_MARADUN</t>
  </si>
  <si>
    <t>Maru</t>
  </si>
  <si>
    <t>ZAMFARA_MARU</t>
  </si>
  <si>
    <t>Shinkafi</t>
  </si>
  <si>
    <t>ZAMFARA_SHINKAFI</t>
  </si>
  <si>
    <t>Talata Mafara</t>
  </si>
  <si>
    <t>ZAMFARA_TALATA MAFARA</t>
  </si>
  <si>
    <t>Tsafe</t>
  </si>
  <si>
    <t>ZAMFARA_TSAFE</t>
  </si>
  <si>
    <t>Zurmi</t>
  </si>
  <si>
    <t>ZAMFARA_ZURMI</t>
  </si>
  <si>
    <t>State</t>
  </si>
  <si>
    <t>IE Pop as at last year</t>
  </si>
  <si>
    <t>NIMR Pop</t>
  </si>
  <si>
    <t>WorldPop</t>
  </si>
  <si>
    <t>MDA Coverage</t>
  </si>
  <si>
    <t>Immunisation</t>
  </si>
  <si>
    <t>Selected Denominator</t>
  </si>
  <si>
    <t>Source</t>
  </si>
  <si>
    <t>Variance vs MDA</t>
  </si>
  <si>
    <t>—</t>
  </si>
  <si>
    <t>NIMR</t>
  </si>
  <si>
    <t>IE</t>
  </si>
  <si>
    <t>No data</t>
  </si>
  <si>
    <t>N/A</t>
  </si>
  <si>
    <t>Unique</t>
  </si>
  <si>
    <t>local_government_area</t>
  </si>
  <si>
    <t>1_59m</t>
  </si>
  <si>
    <t>KADUNA</t>
  </si>
  <si>
    <t>Jemaa</t>
  </si>
  <si>
    <t>BAUCHI</t>
  </si>
  <si>
    <t>Dambam</t>
  </si>
  <si>
    <t>Itas Gadau</t>
  </si>
  <si>
    <t>Jama'Are</t>
  </si>
  <si>
    <t>Tafawa Balewa</t>
  </si>
  <si>
    <t>ADAMAWA</t>
  </si>
  <si>
    <t>Mayo Belwa</t>
  </si>
  <si>
    <t>GOMBE</t>
  </si>
  <si>
    <t>Shongom</t>
  </si>
  <si>
    <t>Yamaltu-Deba</t>
  </si>
  <si>
    <t>YOBE</t>
  </si>
  <si>
    <t>SOKOTO</t>
  </si>
  <si>
    <t>BINJI</t>
  </si>
  <si>
    <t>SIGHTSAVERS</t>
  </si>
  <si>
    <t>BODINGA</t>
  </si>
  <si>
    <t>DANGE SHUNI</t>
  </si>
  <si>
    <t>GADA</t>
  </si>
  <si>
    <t>GORONYO</t>
  </si>
  <si>
    <t>GUDU</t>
  </si>
  <si>
    <t>GWADABAWA</t>
  </si>
  <si>
    <t>ILLELA</t>
  </si>
  <si>
    <t>ISA</t>
  </si>
  <si>
    <t>KEBBE</t>
  </si>
  <si>
    <t>KWARE</t>
  </si>
  <si>
    <t>RABAH</t>
  </si>
  <si>
    <t>SABON BIRNI</t>
  </si>
  <si>
    <t>SHAGARI</t>
  </si>
  <si>
    <t>SILAME</t>
  </si>
  <si>
    <t>SOKOTO NORTH</t>
  </si>
  <si>
    <t>SOKOTO SOUTH</t>
  </si>
  <si>
    <t>TAMBUWAL</t>
  </si>
  <si>
    <t>TANGAZA</t>
  </si>
  <si>
    <t>TURETA</t>
  </si>
  <si>
    <t>WAMAKKO</t>
  </si>
  <si>
    <t>WURNO</t>
  </si>
  <si>
    <t>YABO</t>
  </si>
  <si>
    <t>KANO</t>
  </si>
  <si>
    <t>AJINGI</t>
  </si>
  <si>
    <t>ALBASU</t>
  </si>
  <si>
    <t>BAGWAI</t>
  </si>
  <si>
    <t>BEBEJI</t>
  </si>
  <si>
    <t>BICHI</t>
  </si>
  <si>
    <t>BUNKURE</t>
  </si>
  <si>
    <t>DALA</t>
  </si>
  <si>
    <t>DAMBATTA</t>
  </si>
  <si>
    <t>DAWAKIN KUDU</t>
  </si>
  <si>
    <t>DAWAKIN TOFA</t>
  </si>
  <si>
    <t>KANO_DOGUNWA</t>
  </si>
  <si>
    <t>DOGUNWA</t>
  </si>
  <si>
    <t>FAGGE</t>
  </si>
  <si>
    <t>GABASAWA</t>
  </si>
  <si>
    <t>GARKO</t>
  </si>
  <si>
    <t>KANO_GARUN MALAM</t>
  </si>
  <si>
    <t>GARUN MALAM</t>
  </si>
  <si>
    <t>GAYA</t>
  </si>
  <si>
    <t>GEZAWA</t>
  </si>
  <si>
    <t>GWALE</t>
  </si>
  <si>
    <t>GWARZO</t>
  </si>
  <si>
    <t>KABO</t>
  </si>
  <si>
    <t>KANO MUNICIPAL</t>
  </si>
  <si>
    <t>KARAYE</t>
  </si>
  <si>
    <t>KIBIYA</t>
  </si>
  <si>
    <t>KIRU</t>
  </si>
  <si>
    <t>KUMBOTSO</t>
  </si>
  <si>
    <t>KUNCHI</t>
  </si>
  <si>
    <t>KURA</t>
  </si>
  <si>
    <t>MADOBI</t>
  </si>
  <si>
    <t>MAKODA</t>
  </si>
  <si>
    <t>MINJIBIR</t>
  </si>
  <si>
    <t>NASSARAWA</t>
  </si>
  <si>
    <t>RANO</t>
  </si>
  <si>
    <t>RIMIN GADO</t>
  </si>
  <si>
    <t>ROGO</t>
  </si>
  <si>
    <t>SHANONO</t>
  </si>
  <si>
    <t>SUMAILA</t>
  </si>
  <si>
    <t>TAKAI</t>
  </si>
  <si>
    <t>TARAUNI</t>
  </si>
  <si>
    <t>TOFA</t>
  </si>
  <si>
    <t>TSANYAWA</t>
  </si>
  <si>
    <t>TUDUN WADA</t>
  </si>
  <si>
    <t>UNGOGO</t>
  </si>
  <si>
    <t>WARAWA</t>
  </si>
  <si>
    <t>WUDIL</t>
  </si>
  <si>
    <t>Wasagu-Danko</t>
  </si>
  <si>
    <t>Birnin_Magaji-Kiyaw</t>
  </si>
  <si>
    <t>Kiri Kasama</t>
  </si>
  <si>
    <t>total_u5</t>
  </si>
  <si>
    <t>JIGAWA</t>
  </si>
  <si>
    <t>Dogunwa</t>
  </si>
  <si>
    <t>Garun Malam</t>
  </si>
  <si>
    <t>KATSINA</t>
  </si>
  <si>
    <t>Dutsin ma</t>
  </si>
  <si>
    <t>Maiadua</t>
  </si>
  <si>
    <t>KEBBI</t>
  </si>
  <si>
    <t>Danko-Wasagu</t>
  </si>
  <si>
    <t>Dange Shuni</t>
  </si>
  <si>
    <t>ZAMFARA</t>
  </si>
  <si>
    <t>round</t>
  </si>
  <si>
    <t>uuid</t>
  </si>
  <si>
    <t>DEMSA</t>
  </si>
  <si>
    <t>FUFORE</t>
  </si>
  <si>
    <t>GANYE</t>
  </si>
  <si>
    <t>GIREI</t>
  </si>
  <si>
    <t>GOMBI</t>
  </si>
  <si>
    <t>GUYUK</t>
  </si>
  <si>
    <t>HONG</t>
  </si>
  <si>
    <t>JADA</t>
  </si>
  <si>
    <t>LAMURDE</t>
  </si>
  <si>
    <t>MADAGALI</t>
  </si>
  <si>
    <t>MAIHA</t>
  </si>
  <si>
    <t>MAYO BELWA</t>
  </si>
  <si>
    <t>MICHIKA</t>
  </si>
  <si>
    <t>MUBI NORTH</t>
  </si>
  <si>
    <t>MUBI SOUTH</t>
  </si>
  <si>
    <t>NUMAN</t>
  </si>
  <si>
    <t>SHELLENG</t>
  </si>
  <si>
    <t>SONG</t>
  </si>
  <si>
    <t>TOUNGO</t>
  </si>
  <si>
    <t>YOLA NORTH</t>
  </si>
  <si>
    <t>YOLA SOUTH</t>
  </si>
  <si>
    <t>ALKALERI</t>
  </si>
  <si>
    <t>BOGORO</t>
  </si>
  <si>
    <t>DAMBAM</t>
  </si>
  <si>
    <t>DARAZO</t>
  </si>
  <si>
    <t>DASS</t>
  </si>
  <si>
    <t>GAMAWA</t>
  </si>
  <si>
    <t>GANJUWA</t>
  </si>
  <si>
    <t>GIADE</t>
  </si>
  <si>
    <t>ITAS GADAU</t>
  </si>
  <si>
    <t>JAMA'ARE</t>
  </si>
  <si>
    <t>KATAGUM</t>
  </si>
  <si>
    <t>KIRFI</t>
  </si>
  <si>
    <t>MISAU</t>
  </si>
  <si>
    <t>NINGI</t>
  </si>
  <si>
    <t>SHIRA</t>
  </si>
  <si>
    <t>TAFAWA BALEWA</t>
  </si>
  <si>
    <t>TORO</t>
  </si>
  <si>
    <t>WARJI</t>
  </si>
  <si>
    <t>ZAKI</t>
  </si>
  <si>
    <t>AUYO</t>
  </si>
  <si>
    <t>BABURA</t>
  </si>
  <si>
    <t>BIRNIN KUDU</t>
  </si>
  <si>
    <t>BIRNIWA</t>
  </si>
  <si>
    <t>BUJI</t>
  </si>
  <si>
    <t>DUTSE</t>
  </si>
  <si>
    <t>GAGARAWA</t>
  </si>
  <si>
    <t>GARKI</t>
  </si>
  <si>
    <t>GUMEL</t>
  </si>
  <si>
    <t>GURI</t>
  </si>
  <si>
    <t>GWARAM</t>
  </si>
  <si>
    <t>GWIWA</t>
  </si>
  <si>
    <t>HADEJIA</t>
  </si>
  <si>
    <t>JAHUN</t>
  </si>
  <si>
    <t>KAFIN HAUSA</t>
  </si>
  <si>
    <t>KAUGAMA</t>
  </si>
  <si>
    <t>KAZAURE</t>
  </si>
  <si>
    <t>KIRI KASAMA</t>
  </si>
  <si>
    <t>KIYAWA</t>
  </si>
  <si>
    <t>MAIGATARI</t>
  </si>
  <si>
    <t>MALAM MADORI</t>
  </si>
  <si>
    <t>MIGA</t>
  </si>
  <si>
    <t>RINGIM</t>
  </si>
  <si>
    <t>RONI</t>
  </si>
  <si>
    <t>SULE TANKARKAR</t>
  </si>
  <si>
    <t>TAURA</t>
  </si>
  <si>
    <t>YANKWASHI</t>
  </si>
  <si>
    <t>BIRNIN GWARI</t>
  </si>
  <si>
    <t>CHIKUN</t>
  </si>
  <si>
    <t>GIWA</t>
  </si>
  <si>
    <t>IGABI</t>
  </si>
  <si>
    <t>IKARA</t>
  </si>
  <si>
    <t>JABA</t>
  </si>
  <si>
    <t>JEMAA</t>
  </si>
  <si>
    <t>KACHIA</t>
  </si>
  <si>
    <t>KADUNA NORTH</t>
  </si>
  <si>
    <t>KADUNA SOUTH</t>
  </si>
  <si>
    <t>KAGARKO</t>
  </si>
  <si>
    <t>KAJURU</t>
  </si>
  <si>
    <t>KAURA</t>
  </si>
  <si>
    <t>KAURU</t>
  </si>
  <si>
    <t>KUBAU</t>
  </si>
  <si>
    <t>KUDAN</t>
  </si>
  <si>
    <t>LERE</t>
  </si>
  <si>
    <t>MAKARFI</t>
  </si>
  <si>
    <t>SABON GARI</t>
  </si>
  <si>
    <t>SANGA</t>
  </si>
  <si>
    <t>SOBA</t>
  </si>
  <si>
    <t>ZANGON KATAF</t>
  </si>
  <si>
    <t>ZARIA</t>
  </si>
  <si>
    <t>BAKORI</t>
  </si>
  <si>
    <t>BATAGARAWA</t>
  </si>
  <si>
    <t>BATSARI</t>
  </si>
  <si>
    <t>BAURE</t>
  </si>
  <si>
    <t>BINDAWA</t>
  </si>
  <si>
    <t>CHARANCHI</t>
  </si>
  <si>
    <t>DAN MUSA</t>
  </si>
  <si>
    <t>DANDUME</t>
  </si>
  <si>
    <t>DANJA</t>
  </si>
  <si>
    <t>DAURA</t>
  </si>
  <si>
    <t>DUTSI</t>
  </si>
  <si>
    <t>DUTSIN MA</t>
  </si>
  <si>
    <t>FASKARI</t>
  </si>
  <si>
    <t>FUNTUA</t>
  </si>
  <si>
    <t>INGAWA</t>
  </si>
  <si>
    <t>JIBIA</t>
  </si>
  <si>
    <t>KAFUR</t>
  </si>
  <si>
    <t>KAITA</t>
  </si>
  <si>
    <t>KANKARA</t>
  </si>
  <si>
    <t>KANKIA</t>
  </si>
  <si>
    <t>KURFI</t>
  </si>
  <si>
    <t>KUSADA</t>
  </si>
  <si>
    <t>MAIADUA</t>
  </si>
  <si>
    <t>MALUMFASHI</t>
  </si>
  <si>
    <t>MANI</t>
  </si>
  <si>
    <t>MASHI</t>
  </si>
  <si>
    <t>MATAZU</t>
  </si>
  <si>
    <t>MUSAWA</t>
  </si>
  <si>
    <t>RIMI</t>
  </si>
  <si>
    <t>SABUWA</t>
  </si>
  <si>
    <t>SAFANA</t>
  </si>
  <si>
    <t>SANDAMU</t>
  </si>
  <si>
    <t>ZANGO</t>
  </si>
  <si>
    <t>ALEIRO</t>
  </si>
  <si>
    <t>AREWA DANDI</t>
  </si>
  <si>
    <t>ARGUNGU</t>
  </si>
  <si>
    <t>AUGIE</t>
  </si>
  <si>
    <t>BAGUDO</t>
  </si>
  <si>
    <t>BIRNIN KEBBI</t>
  </si>
  <si>
    <t>BUNZA</t>
  </si>
  <si>
    <t>DANDI</t>
  </si>
  <si>
    <t>DANKO-WASAGU</t>
  </si>
  <si>
    <t>FAKAI</t>
  </si>
  <si>
    <t>GWANDU</t>
  </si>
  <si>
    <t>JEGA</t>
  </si>
  <si>
    <t>KALGO</t>
  </si>
  <si>
    <t>KOKO/BESSE</t>
  </si>
  <si>
    <t>MAIYAMA</t>
  </si>
  <si>
    <t>NGASKI</t>
  </si>
  <si>
    <t>SAKABA</t>
  </si>
  <si>
    <t>SHANGA</t>
  </si>
  <si>
    <t>SURU</t>
  </si>
  <si>
    <t>YAURI</t>
  </si>
  <si>
    <t>ZURU</t>
  </si>
  <si>
    <t>BADE</t>
  </si>
  <si>
    <t>BURSARI</t>
  </si>
  <si>
    <t>DAMATURU</t>
  </si>
  <si>
    <t>FIKA</t>
  </si>
  <si>
    <t>FUNE</t>
  </si>
  <si>
    <t>GEIDAM</t>
  </si>
  <si>
    <t>GUJBA</t>
  </si>
  <si>
    <t>GULANI</t>
  </si>
  <si>
    <t>JAKUSKO</t>
  </si>
  <si>
    <t>KARASUWA</t>
  </si>
  <si>
    <t>MACHINA</t>
  </si>
  <si>
    <t>NANGERE</t>
  </si>
  <si>
    <t>NGURU</t>
  </si>
  <si>
    <t>POTISKUM</t>
  </si>
  <si>
    <t>TARMUWA</t>
  </si>
  <si>
    <t>YUNUSARI</t>
  </si>
  <si>
    <t>YUSUFARI</t>
  </si>
  <si>
    <t>AKKO</t>
  </si>
  <si>
    <t>BALANGA</t>
  </si>
  <si>
    <t>BILLIRI</t>
  </si>
  <si>
    <t>DUKKU</t>
  </si>
  <si>
    <t>FUNAKAYE</t>
  </si>
  <si>
    <t>KALTUNGO</t>
  </si>
  <si>
    <t>KWAMI</t>
  </si>
  <si>
    <t>NAFADA</t>
  </si>
  <si>
    <t>SHONGOM</t>
  </si>
  <si>
    <t>YAMALTU-DEBA</t>
  </si>
  <si>
    <t>Lga</t>
  </si>
  <si>
    <t>uid_id</t>
  </si>
  <si>
    <t>total_vacc_bopv</t>
  </si>
  <si>
    <t>total_vacc_nopv</t>
  </si>
  <si>
    <t>Borno</t>
  </si>
  <si>
    <t>Abadam</t>
  </si>
  <si>
    <t>BORNO_ABADAM</t>
  </si>
  <si>
    <t>Askira/Uba</t>
  </si>
  <si>
    <t>BORNO_ASKIRA/UBA</t>
  </si>
  <si>
    <t>Bama</t>
  </si>
  <si>
    <t>BORNO_BAMA</t>
  </si>
  <si>
    <t>Bayo</t>
  </si>
  <si>
    <t>BORNO_BAYO</t>
  </si>
  <si>
    <t>Biu</t>
  </si>
  <si>
    <t>BORNO_BIU</t>
  </si>
  <si>
    <t>Chibok</t>
  </si>
  <si>
    <t>BORNO_CHIBOK</t>
  </si>
  <si>
    <t>Damboa</t>
  </si>
  <si>
    <t>BORNO_DAMBOA</t>
  </si>
  <si>
    <t>Dikwa</t>
  </si>
  <si>
    <t>BORNO_DIKWA</t>
  </si>
  <si>
    <t>Gubio</t>
  </si>
  <si>
    <t>BORNO_GUBIO</t>
  </si>
  <si>
    <t>Guzamala</t>
  </si>
  <si>
    <t>BORNO_GUZAMALA</t>
  </si>
  <si>
    <t>Gwoza</t>
  </si>
  <si>
    <t>BORNO_GWOZA</t>
  </si>
  <si>
    <t>Hawul</t>
  </si>
  <si>
    <t>BORNO_HAWUL</t>
  </si>
  <si>
    <t>Jere</t>
  </si>
  <si>
    <t>BORNO_JERE</t>
  </si>
  <si>
    <t>Kaga</t>
  </si>
  <si>
    <t>BORNO_KAGA</t>
  </si>
  <si>
    <t>Kala/Balge</t>
  </si>
  <si>
    <t>BORNO_KALA/BALGE</t>
  </si>
  <si>
    <t>Konduga</t>
  </si>
  <si>
    <t>BORNO_KONDUGA</t>
  </si>
  <si>
    <t>Kukawa</t>
  </si>
  <si>
    <t>BORNO_KUKAWA</t>
  </si>
  <si>
    <t>Kwaya Kusar</t>
  </si>
  <si>
    <t>BORNO_KWAYA KUSAR</t>
  </si>
  <si>
    <t>Mafa</t>
  </si>
  <si>
    <t>BORNO_MAFA</t>
  </si>
  <si>
    <t>Magumeri</t>
  </si>
  <si>
    <t>BORNO_MAGUMERI</t>
  </si>
  <si>
    <t>Maiduguri</t>
  </si>
  <si>
    <t>BORNO_MAIDUGURI</t>
  </si>
  <si>
    <t>Marte</t>
  </si>
  <si>
    <t>BORNO_MARTE</t>
  </si>
  <si>
    <t>Mobbar</t>
  </si>
  <si>
    <t>BORNO_MOBBAR</t>
  </si>
  <si>
    <t>Monguno</t>
  </si>
  <si>
    <t>BORNO_MONGUNO</t>
  </si>
  <si>
    <t>Ngala</t>
  </si>
  <si>
    <t>BORNO_NGALA</t>
  </si>
  <si>
    <t>Nganzai</t>
  </si>
  <si>
    <t>BORNO_NGANZAI</t>
  </si>
  <si>
    <t>Shani</t>
  </si>
  <si>
    <t>BORNO_SHANI</t>
  </si>
  <si>
    <t>Yamaltu Deba</t>
  </si>
  <si>
    <t>Koko-Besse</t>
  </si>
  <si>
    <t>Kwara</t>
  </si>
  <si>
    <t>Asa</t>
  </si>
  <si>
    <t>KWARA_ASA</t>
  </si>
  <si>
    <t>Baruten</t>
  </si>
  <si>
    <t>KWARA_BARUTEN</t>
  </si>
  <si>
    <t>Edu</t>
  </si>
  <si>
    <t>KWARA_EDU</t>
  </si>
  <si>
    <t>Ekiti</t>
  </si>
  <si>
    <t>KWARA_EKITI</t>
  </si>
  <si>
    <t>Ifelodun</t>
  </si>
  <si>
    <t>KWARA_IFELODUN</t>
  </si>
  <si>
    <t>Ilorin East</t>
  </si>
  <si>
    <t>KWARA_ILORIN EAST</t>
  </si>
  <si>
    <t>Ilorin South</t>
  </si>
  <si>
    <t>KWARA_ILORIN SOUTH</t>
  </si>
  <si>
    <t>Ilorin West</t>
  </si>
  <si>
    <t>KWARA_ILORIN WEST</t>
  </si>
  <si>
    <t>Irepodun</t>
  </si>
  <si>
    <t>KWARA_IREPODUN</t>
  </si>
  <si>
    <t>Isin</t>
  </si>
  <si>
    <t>KWARA_ISIN</t>
  </si>
  <si>
    <t>Kaiama</t>
  </si>
  <si>
    <t>KWARA_KAIAMA</t>
  </si>
  <si>
    <t>Moro</t>
  </si>
  <si>
    <t>KWARA_MORO</t>
  </si>
  <si>
    <t>Offa</t>
  </si>
  <si>
    <t>KWARA_OFFA</t>
  </si>
  <si>
    <t>Oke Ero</t>
  </si>
  <si>
    <t>KWARA_OKE ERO</t>
  </si>
  <si>
    <t>Oyun</t>
  </si>
  <si>
    <t>KWARA_OYUN</t>
  </si>
  <si>
    <t>Pategi</t>
  </si>
  <si>
    <t>KWARA_PATEGI</t>
  </si>
  <si>
    <t>Nasarawa</t>
  </si>
  <si>
    <t>Akwanga</t>
  </si>
  <si>
    <t>NASARAWA_AKWANGA</t>
  </si>
  <si>
    <t>Awe</t>
  </si>
  <si>
    <t>NASARAWA_AWE</t>
  </si>
  <si>
    <t>Doma</t>
  </si>
  <si>
    <t>NASARAWA_DOMA</t>
  </si>
  <si>
    <t>Karu</t>
  </si>
  <si>
    <t>NASARAWA_KARU</t>
  </si>
  <si>
    <t>Keana</t>
  </si>
  <si>
    <t>NASARAWA_KEANA</t>
  </si>
  <si>
    <t>Keffi</t>
  </si>
  <si>
    <t>NASARAWA_KEFFI</t>
  </si>
  <si>
    <t>Kokona</t>
  </si>
  <si>
    <t>NASARAWA_KOKONA</t>
  </si>
  <si>
    <t>Lafia</t>
  </si>
  <si>
    <t>NASARAWA_LAFIA</t>
  </si>
  <si>
    <t>NASARAWA_NASARAWA</t>
  </si>
  <si>
    <t>Nasarawa Egon</t>
  </si>
  <si>
    <t>NASARAWA_NASARAWA EGON</t>
  </si>
  <si>
    <t>Obi</t>
  </si>
  <si>
    <t>NASARAWA_OBI</t>
  </si>
  <si>
    <t>Toto</t>
  </si>
  <si>
    <t>NASARAWA_TOTO</t>
  </si>
  <si>
    <t>Wamba</t>
  </si>
  <si>
    <t>NASARAWA_WAMBA</t>
  </si>
  <si>
    <t>Niger</t>
  </si>
  <si>
    <t>Agaie</t>
  </si>
  <si>
    <t>NIGER_AGAIE</t>
  </si>
  <si>
    <t>Agwara</t>
  </si>
  <si>
    <t>NIGER_AGWARA</t>
  </si>
  <si>
    <t>Bida</t>
  </si>
  <si>
    <t>NIGER_BIDA</t>
  </si>
  <si>
    <t>Borgu</t>
  </si>
  <si>
    <t>NIGER_BORGU</t>
  </si>
  <si>
    <t>Bosso</t>
  </si>
  <si>
    <t>NIGER_BOSSO</t>
  </si>
  <si>
    <t>Chanchaga</t>
  </si>
  <si>
    <t>NIGER_CHANCHAGA</t>
  </si>
  <si>
    <t>Edati</t>
  </si>
  <si>
    <t>NIGER_EDATI</t>
  </si>
  <si>
    <t>Gbako</t>
  </si>
  <si>
    <t>NIGER_GBAKO</t>
  </si>
  <si>
    <t>Gurara</t>
  </si>
  <si>
    <t>NIGER_GURARA</t>
  </si>
  <si>
    <t>Katcha</t>
  </si>
  <si>
    <t>NIGER_KATCHA</t>
  </si>
  <si>
    <t>Kontagora</t>
  </si>
  <si>
    <t>NIGER_KONTAGORA</t>
  </si>
  <si>
    <t>Lapai</t>
  </si>
  <si>
    <t>NIGER_LAPAI</t>
  </si>
  <si>
    <t>Lavun</t>
  </si>
  <si>
    <t>NIGER_LAVUN</t>
  </si>
  <si>
    <t>Magama</t>
  </si>
  <si>
    <t>NIGER_MAGAMA</t>
  </si>
  <si>
    <t>Mariga</t>
  </si>
  <si>
    <t>NIGER_MARIGA</t>
  </si>
  <si>
    <t>Mashegu</t>
  </si>
  <si>
    <t>NIGER_MASHEGU</t>
  </si>
  <si>
    <t>Mokwa</t>
  </si>
  <si>
    <t>NIGER_MOKWA</t>
  </si>
  <si>
    <t>Munya</t>
  </si>
  <si>
    <t>NIGER_MUNYA</t>
  </si>
  <si>
    <t>Paikoro</t>
  </si>
  <si>
    <t>NIGER_PAIKORO</t>
  </si>
  <si>
    <t>Rafi</t>
  </si>
  <si>
    <t>NIGER_RAFI</t>
  </si>
  <si>
    <t>Rijau</t>
  </si>
  <si>
    <t>NIGER_RIJAU</t>
  </si>
  <si>
    <t>Shiroro</t>
  </si>
  <si>
    <t>NIGER_SHIRORO</t>
  </si>
  <si>
    <t>Suleja</t>
  </si>
  <si>
    <t>NIGER_SULEJA</t>
  </si>
  <si>
    <t>Tafa</t>
  </si>
  <si>
    <t>NIGER_TAFA</t>
  </si>
  <si>
    <t>Wushishi</t>
  </si>
  <si>
    <t>NIGER_WUSHISHI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</si>
</sst>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rgb="FF000000"/>
      <name val="&quot;Aptos Narrow&quot;"/>
    </font>
    <font>
      <color theme="1"/>
      <name val="Arial"/>
      <scheme val="minor"/>
    </font>
    <font>
      <sz val="12.0"/>
      <color rgb="FF000000"/>
      <name val="Arial"/>
    </font>
    <font>
      <sz val="11.0"/>
      <color theme="1"/>
      <name val="Aptos Narrow"/>
    </font>
    <font>
      <b/>
      <color rgb="FF222222"/>
      <name val="Arial"/>
    </font>
    <font>
      <color rgb="FF222222"/>
      <name val="Arial"/>
    </font>
    <font>
      <sz val="11.0"/>
      <color rgb="FF000000"/>
      <name val="&quot;Aptos Narrow&quot;"/>
    </font>
    <font>
      <color theme="1"/>
      <name val="Arial"/>
    </font>
    <font>
      <b/>
      <color rgb="FF000000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7FD"/>
        <bgColor rgb="FFD9E7F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8CB5F9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horizontal="right" vertical="bottom"/>
    </xf>
    <xf borderId="1" fillId="2" fontId="5" numFmtId="0" xfId="0" applyAlignment="1" applyBorder="1" applyFill="1" applyFont="1">
      <alignment horizontal="center" readingOrder="0"/>
    </xf>
    <xf borderId="1" fillId="2" fontId="5" numFmtId="0" xfId="0" applyAlignment="1" applyBorder="1" applyFont="1">
      <alignment horizontal="center" readingOrder="0" shrinkToFit="0" wrapText="1"/>
    </xf>
    <xf borderId="1" fillId="2" fontId="6" numFmtId="0" xfId="0" applyAlignment="1" applyBorder="1" applyFont="1">
      <alignment horizontal="center" readingOrder="0"/>
    </xf>
    <xf borderId="1" fillId="2" fontId="6" numFmtId="3" xfId="0" applyAlignment="1" applyBorder="1" applyFont="1" applyNumberFormat="1">
      <alignment horizontal="center" readingOrder="0"/>
    </xf>
    <xf borderId="1" fillId="2" fontId="6" numFmtId="0" xfId="0" applyAlignment="1" applyBorder="1" applyFont="1">
      <alignment horizontal="center"/>
    </xf>
    <xf borderId="1" fillId="2" fontId="6" numFmtId="10" xfId="0" applyAlignment="1" applyBorder="1" applyFont="1" applyNumberFormat="1">
      <alignment horizontal="center" readingOrder="0"/>
    </xf>
    <xf borderId="0" fillId="0" fontId="2" numFmtId="3" xfId="0" applyFont="1" applyNumberFormat="1"/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2" fillId="3" fontId="9" numFmtId="0" xfId="0" applyAlignment="1" applyBorder="1" applyFill="1" applyFont="1">
      <alignment readingOrder="0" shrinkToFit="0" vertical="bottom" wrapText="0"/>
    </xf>
    <xf borderId="2" fillId="3" fontId="9" numFmtId="0" xfId="0" applyAlignment="1" applyBorder="1" applyFont="1">
      <alignment horizontal="lef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2" fillId="0" fontId="9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summary!$E$1</c:f>
            </c:strRef>
          </c:tx>
          <c:spPr>
            <a:solidFill>
              <a:schemeClr val="accent1"/>
            </a:solidFill>
            <a:ln cmpd="sng">
              <a:solidFill>
                <a:srgbClr val="000000">
                  <a:alpha val="50196"/>
                </a:srgbClr>
              </a:solidFill>
              <a:prstDash val="sysDot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i="0" sz="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summary!$B$2:$B$22</c:f>
            </c:strRef>
          </c:cat>
          <c:val>
            <c:numRef>
              <c:f>summary!$E$2:$E$22</c:f>
              <c:numCache/>
            </c:numRef>
          </c:val>
        </c:ser>
        <c:ser>
          <c:idx val="1"/>
          <c:order val="1"/>
          <c:tx>
            <c:strRef>
              <c:f>summary!$F$1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summary!$B$2:$B$22</c:f>
            </c:strRef>
          </c:cat>
          <c:val>
            <c:numRef>
              <c:f>summary!$F$2:$F$22</c:f>
              <c:numCache/>
            </c:numRef>
          </c:val>
        </c:ser>
        <c:ser>
          <c:idx val="2"/>
          <c:order val="2"/>
          <c:tx>
            <c:strRef>
              <c:f>summary!$G$1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9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summary!$B$2:$B$22</c:f>
            </c:strRef>
          </c:cat>
          <c:val>
            <c:numRef>
              <c:f>summary!$G$2:$G$22</c:f>
              <c:numCache/>
            </c:numRef>
          </c:val>
        </c:ser>
        <c:ser>
          <c:idx val="3"/>
          <c:order val="3"/>
          <c:tx>
            <c:strRef>
              <c:f>summary!$H$1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9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summary!$B$2:$B$22</c:f>
            </c:strRef>
          </c:cat>
          <c:val>
            <c:numRef>
              <c:f>summary!$H$2:$H$22</c:f>
              <c:numCache/>
            </c:numRef>
          </c:val>
        </c:ser>
        <c:axId val="1651253307"/>
        <c:axId val="649133485"/>
      </c:barChart>
      <c:catAx>
        <c:axId val="16512533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9133485"/>
      </c:catAx>
      <c:valAx>
        <c:axId val="6491334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12533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>
  <Task id="{ebaeb9a8-e3bb-4d3a-9cd2-6611c5489241}">
    <Anchor>
      <Comment id="{bc8e42e0-997a-489a-a400-4b86d31a24fb}"/>
    </Anchor>
    <History>
      <Event time="2026-04-16T19:04:15.00" id="{d23428c4-7d29-4324-97c4-b2d95468b7b7}">
        <Attribution userId="placeholder@email.com" userName="Fashoto Oluwatosin Busayo" userProvider="google-sheets"/>
        <Anchor>
          <Comment id="{bc8e42e0-997a-489a-a400-4b86d31a24fb}"/>
        </Anchor>
        <Create/>
      </Event>
      <Event time="2026-04-16T19:04:15.00" id="{629875fc-aa2c-48e1-a49b-a47c3ccda820}">
        <Attribution userId="placeholder@email.com" userName="Fashoto Oluwatosin Busayo" userProvider="google-sheets"/>
        <Anchor>
          <Comment id="{bc8e42e0-997a-489a-a400-4b86d31a24fb}"/>
        </Anchor>
        <Assign userId="benjamin.shaibu@ehealthnigeria.org" userName="benjamin.shaibu@ehealthnigeria.org" userProvider="google-sheets"/>
      </Event>
    </History>
  </Task>
</Task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5</xdr:row>
      <xdr:rowOff>161925</xdr:rowOff>
    </xdr:from>
    <xdr:ext cx="13896975" cy="5448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Fashoto Oluwatosin Busayo" id="{95ce1418-18b8-43bd-93d5-35f2159f29d5}" providerId="google-sheets"/>
  <x18tc:person displayName="benjamin.shaibu@ehealthnigeria.org" id="{f2ceb3b0-1c1c-44d6-9778-e71c656c7350}" userId="benjamin.shaibu@ehealthnigeria.org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16T19:04:15.00" personId="{95ce1418-18b8-43bd-93d5-35f2159f29d5}" id="{bc8e42e0-997a-489a-a400-4b86d31a24fb}" done="0">
    <x18tc:text xml:space="preserve">@benjamin.shaibu@ehealthnigeria.org 
Us this to update the streamlite.
This is going out tomorrow
Assigned to benjamin.shaibu@ehealthnigeria.org</x18tc:text>
    <x18tc:mentions>
      <x18tc:mention mentionpersonId="{f2ceb3b0-1c1c-44d6-9778-e71c656c7350}" mentionId="{d7d532d1-3a6a-4b31-a9e4-ae8f6f51175a}" startIndex="0" length="35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13"/>
    <col customWidth="1" min="4" max="4" width="10.88"/>
    <col customWidth="1" min="5" max="5" width="11.75"/>
    <col customWidth="1" min="6" max="6" width="10.13"/>
    <col customWidth="1" min="7" max="7" width="19.75"/>
    <col customWidth="1" min="8" max="8" width="19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1" t="s">
        <v>8</v>
      </c>
      <c r="B2" s="1" t="s">
        <v>9</v>
      </c>
      <c r="C2" s="1" t="s">
        <v>10</v>
      </c>
      <c r="D2" s="3" t="str">
        <f t="array" ref="D2">IFERROR(INDEX(ie_records!D:D,MATCH(C2,ie_records!C:C,0)),"NA")</f>
        <v>NA</v>
      </c>
      <c r="E2" s="3">
        <f t="array" ref="E2">IFERROR(INDEX(enumeration_kad_bau_ada_gombe_y!D:D,MATCH(C2,enumeration_kad_bau_ada_gombe_y!B:B,0)),"NA")</f>
        <v>78295</v>
      </c>
      <c r="F2" s="3">
        <f t="array" ref="F2">IFERROR(INDEX(world_pop!G:G,MATCH(C2,world_pop!F:F,0)),"NA")</f>
        <v>47556</v>
      </c>
      <c r="G2" s="3">
        <f t="array" ref="G2">IFERROR(INDEX(mda_last_round!C:C,MATCH(C2,mda_last_round!E:E,0)),"NA")</f>
        <v>59894</v>
      </c>
      <c r="H2" s="3">
        <f t="array" ref="H2">IFERROR(INDEX(immuization!E:E,MATCH(C2,immuization!C:C,0)),"NA")</f>
        <v>78206</v>
      </c>
    </row>
    <row r="3">
      <c r="A3" s="1" t="s">
        <v>8</v>
      </c>
      <c r="B3" s="1" t="s">
        <v>11</v>
      </c>
      <c r="C3" s="1" t="s">
        <v>12</v>
      </c>
      <c r="D3" s="3" t="str">
        <f t="array" ref="D3">IFERROR(INDEX(ie_records!D:D,MATCH(C3,ie_records!C:C,0)),"NA")</f>
        <v>NA</v>
      </c>
      <c r="E3" s="3">
        <f t="array" ref="E3">IFERROR(INDEX(enumeration_kad_bau_ada_gombe_y!D:D,MATCH(C3,enumeration_kad_bau_ada_gombe_y!B:B,0)),"NA")</f>
        <v>109881</v>
      </c>
      <c r="F3" s="3">
        <f t="array" ref="F3">IFERROR(INDEX(world_pop!G:G,MATCH(C3,world_pop!F:F,0)),"NA")</f>
        <v>74764</v>
      </c>
      <c r="G3" s="3">
        <f t="array" ref="G3">IFERROR(INDEX(mda_last_round!C:C,MATCH(C3,mda_last_round!E:E,0)),"NA")</f>
        <v>75465</v>
      </c>
      <c r="H3" s="3">
        <f t="array" ref="H3">IFERROR(INDEX(immuization!E:E,MATCH(C3,immuization!C:C,0)),"NA")</f>
        <v>96912</v>
      </c>
    </row>
    <row r="4">
      <c r="A4" s="1" t="s">
        <v>8</v>
      </c>
      <c r="B4" s="1" t="s">
        <v>13</v>
      </c>
      <c r="C4" s="1" t="s">
        <v>14</v>
      </c>
      <c r="D4" s="3" t="str">
        <f t="array" ref="D4">IFERROR(INDEX(ie_records!D:D,MATCH(C4,ie_records!C:C,0)),"NA")</f>
        <v>NA</v>
      </c>
      <c r="E4" s="3">
        <f t="array" ref="E4">IFERROR(INDEX(enumeration_kad_bau_ada_gombe_y!D:D,MATCH(C4,enumeration_kad_bau_ada_gombe_y!B:B,0)),"NA")</f>
        <v>58086</v>
      </c>
      <c r="F4" s="3">
        <f t="array" ref="F4">IFERROR(INDEX(world_pop!G:G,MATCH(C4,world_pop!F:F,0)),"NA")</f>
        <v>52343</v>
      </c>
      <c r="G4" s="3">
        <f t="array" ref="G4">IFERROR(INDEX(mda_last_round!C:C,MATCH(C4,mda_last_round!E:E,0)),"NA")</f>
        <v>50873</v>
      </c>
      <c r="H4" s="3">
        <f t="array" ref="H4">IFERROR(INDEX(immuization!E:E,MATCH(C4,immuization!C:C,0)),"NA")</f>
        <v>57510</v>
      </c>
    </row>
    <row r="5">
      <c r="A5" s="1" t="s">
        <v>8</v>
      </c>
      <c r="B5" s="1" t="s">
        <v>15</v>
      </c>
      <c r="C5" s="1" t="s">
        <v>16</v>
      </c>
      <c r="D5" s="3" t="str">
        <f t="array" ref="D5">IFERROR(INDEX(ie_records!D:D,MATCH(C5,ie_records!C:C,0)),"NA")</f>
        <v>NA</v>
      </c>
      <c r="E5" s="3">
        <f t="array" ref="E5">IFERROR(INDEX(enumeration_kad_bau_ada_gombe_y!D:D,MATCH(C5,enumeration_kad_bau_ada_gombe_y!B:B,0)),"NA")</f>
        <v>53156</v>
      </c>
      <c r="F5" s="3">
        <f t="array" ref="F5">IFERROR(INDEX(world_pop!G:G,MATCH(C5,world_pop!F:F,0)),"NA")</f>
        <v>44319</v>
      </c>
      <c r="G5" s="3">
        <f t="array" ref="G5">IFERROR(INDEX(mda_last_round!C:C,MATCH(C5,mda_last_round!E:E,0)),"NA")</f>
        <v>45686</v>
      </c>
      <c r="H5" s="3">
        <f t="array" ref="H5">IFERROR(INDEX(immuization!E:E,MATCH(C5,immuization!C:C,0)),"NA")</f>
        <v>54459</v>
      </c>
    </row>
    <row r="6">
      <c r="A6" s="1" t="s">
        <v>8</v>
      </c>
      <c r="B6" s="1" t="s">
        <v>17</v>
      </c>
      <c r="C6" s="1" t="s">
        <v>18</v>
      </c>
      <c r="D6" s="3" t="str">
        <f t="array" ref="D6">IFERROR(INDEX(ie_records!D:D,MATCH(C6,ie_records!C:C,0)),"NA")</f>
        <v>NA</v>
      </c>
      <c r="E6" s="3">
        <f t="array" ref="E6">IFERROR(INDEX(enumeration_kad_bau_ada_gombe_y!D:D,MATCH(C6,enumeration_kad_bau_ada_gombe_y!B:B,0)),"NA")</f>
        <v>63553</v>
      </c>
      <c r="F6" s="3">
        <f t="array" ref="F6">IFERROR(INDEX(world_pop!G:G,MATCH(C6,world_pop!F:F,0)),"NA")</f>
        <v>49526</v>
      </c>
      <c r="G6" s="3">
        <f t="array" ref="G6">IFERROR(INDEX(mda_last_round!C:C,MATCH(C6,mda_last_round!E:E,0)),"NA")</f>
        <v>48636</v>
      </c>
      <c r="H6" s="3">
        <f t="array" ref="H6">IFERROR(INDEX(immuization!E:E,MATCH(C6,immuization!C:C,0)),"NA")</f>
        <v>66079</v>
      </c>
    </row>
    <row r="7">
      <c r="A7" s="1" t="s">
        <v>8</v>
      </c>
      <c r="B7" s="1" t="s">
        <v>19</v>
      </c>
      <c r="C7" s="1" t="s">
        <v>20</v>
      </c>
      <c r="D7" s="3" t="str">
        <f t="array" ref="D7">IFERROR(INDEX(ie_records!D:D,MATCH(C7,ie_records!C:C,0)),"NA")</f>
        <v>NA</v>
      </c>
      <c r="E7" s="3">
        <f t="array" ref="E7">IFERROR(INDEX(enumeration_kad_bau_ada_gombe_y!D:D,MATCH(C7,enumeration_kad_bau_ada_gombe_y!B:B,0)),"NA")</f>
        <v>71273</v>
      </c>
      <c r="F7" s="3">
        <f t="array" ref="F7">IFERROR(INDEX(world_pop!G:G,MATCH(C7,world_pop!F:F,0)),"NA")</f>
        <v>42068</v>
      </c>
      <c r="G7" s="3">
        <f t="array" ref="G7">IFERROR(INDEX(mda_last_round!C:C,MATCH(C7,mda_last_round!E:E,0)),"NA")</f>
        <v>58862</v>
      </c>
      <c r="H7" s="3">
        <f t="array" ref="H7">IFERROR(INDEX(immuization!E:E,MATCH(C7,immuization!C:C,0)),"NA")</f>
        <v>29094</v>
      </c>
    </row>
    <row r="8">
      <c r="A8" s="1" t="s">
        <v>8</v>
      </c>
      <c r="B8" s="1" t="s">
        <v>21</v>
      </c>
      <c r="C8" s="1" t="s">
        <v>22</v>
      </c>
      <c r="D8" s="3" t="str">
        <f t="array" ref="D8">IFERROR(INDEX(ie_records!D:D,MATCH(C8,ie_records!C:C,0)),"NA")</f>
        <v>NA</v>
      </c>
      <c r="E8" s="3">
        <f t="array" ref="E8">IFERROR(INDEX(enumeration_kad_bau_ada_gombe_y!D:D,MATCH(C8,enumeration_kad_bau_ada_gombe_y!B:B,0)),"NA")</f>
        <v>62256</v>
      </c>
      <c r="F8" s="3">
        <f t="array" ref="F8">IFERROR(INDEX(world_pop!G:G,MATCH(C8,world_pop!F:F,0)),"NA")</f>
        <v>55841</v>
      </c>
      <c r="G8" s="3">
        <f t="array" ref="G8">IFERROR(INDEX(mda_last_round!C:C,MATCH(C8,mda_last_round!E:E,0)),"NA")</f>
        <v>46750</v>
      </c>
      <c r="H8" s="3">
        <f t="array" ref="H8">IFERROR(INDEX(immuization!E:E,MATCH(C8,immuization!C:C,0)),"NA")</f>
        <v>42148</v>
      </c>
    </row>
    <row r="9">
      <c r="A9" s="1" t="s">
        <v>8</v>
      </c>
      <c r="B9" s="1" t="s">
        <v>23</v>
      </c>
      <c r="C9" s="1" t="s">
        <v>24</v>
      </c>
      <c r="D9" s="3" t="str">
        <f t="array" ref="D9">IFERROR(INDEX(ie_records!D:D,MATCH(C9,ie_records!C:C,0)),"NA")</f>
        <v>NA</v>
      </c>
      <c r="E9" s="3">
        <f t="array" ref="E9">IFERROR(INDEX(enumeration_kad_bau_ada_gombe_y!D:D,MATCH(C9,enumeration_kad_bau_ada_gombe_y!B:B,0)),"NA")</f>
        <v>62492</v>
      </c>
      <c r="F9" s="3">
        <f t="array" ref="F9">IFERROR(INDEX(world_pop!G:G,MATCH(C9,world_pop!F:F,0)),"NA")</f>
        <v>54042</v>
      </c>
      <c r="G9" s="3">
        <f t="array" ref="G9">IFERROR(INDEX(mda_last_round!C:C,MATCH(C9,mda_last_round!E:E,0)),"NA")</f>
        <v>52716</v>
      </c>
      <c r="H9" s="3">
        <f t="array" ref="H9">IFERROR(INDEX(immuization!E:E,MATCH(C9,immuization!C:C,0)),"NA")</f>
        <v>51596</v>
      </c>
    </row>
    <row r="10">
      <c r="A10" s="1" t="s">
        <v>8</v>
      </c>
      <c r="B10" s="1" t="s">
        <v>25</v>
      </c>
      <c r="C10" s="1" t="s">
        <v>26</v>
      </c>
      <c r="D10" s="3" t="str">
        <f t="array" ref="D10">IFERROR(INDEX(ie_records!D:D,MATCH(C10,ie_records!C:C,0)),"NA")</f>
        <v>NA</v>
      </c>
      <c r="E10" s="3">
        <f t="array" ref="E10">IFERROR(INDEX(enumeration_kad_bau_ada_gombe_y!D:D,MATCH(C10,enumeration_kad_bau_ada_gombe_y!B:B,0)),"NA")</f>
        <v>44530</v>
      </c>
      <c r="F10" s="3">
        <f t="array" ref="F10">IFERROR(INDEX(world_pop!G:G,MATCH(C10,world_pop!F:F,0)),"NA")</f>
        <v>33598</v>
      </c>
      <c r="G10" s="3">
        <f t="array" ref="G10">IFERROR(INDEX(mda_last_round!C:C,MATCH(C10,mda_last_round!E:E,0)),"NA")</f>
        <v>31831</v>
      </c>
      <c r="H10" s="3">
        <f t="array" ref="H10">IFERROR(INDEX(immuization!E:E,MATCH(C10,immuization!C:C,0)),"NA")</f>
        <v>58805</v>
      </c>
    </row>
    <row r="11">
      <c r="A11" s="1" t="s">
        <v>8</v>
      </c>
      <c r="B11" s="1" t="s">
        <v>27</v>
      </c>
      <c r="C11" s="1" t="s">
        <v>28</v>
      </c>
      <c r="D11" s="3" t="str">
        <f t="array" ref="D11">IFERROR(INDEX(ie_records!D:D,MATCH(C11,ie_records!C:C,0)),"NA")</f>
        <v>NA</v>
      </c>
      <c r="E11" s="3">
        <f t="array" ref="E11">IFERROR(INDEX(enumeration_kad_bau_ada_gombe_y!D:D,MATCH(C11,enumeration_kad_bau_ada_gombe_y!B:B,0)),"NA")</f>
        <v>67035</v>
      </c>
      <c r="F11" s="3">
        <f t="array" ref="F11">IFERROR(INDEX(world_pop!G:G,MATCH(C11,world_pop!F:F,0)),"NA")</f>
        <v>42724</v>
      </c>
      <c r="G11" s="3">
        <f t="array" ref="G11">IFERROR(INDEX(mda_last_round!C:C,MATCH(C11,mda_last_round!E:E,0)),"NA")</f>
        <v>55945</v>
      </c>
      <c r="H11" s="3">
        <f t="array" ref="H11">IFERROR(INDEX(immuization!E:E,MATCH(C11,immuization!C:C,0)),"NA")</f>
        <v>59093</v>
      </c>
    </row>
    <row r="12">
      <c r="A12" s="1" t="s">
        <v>8</v>
      </c>
      <c r="B12" s="1" t="s">
        <v>29</v>
      </c>
      <c r="C12" s="1" t="s">
        <v>30</v>
      </c>
      <c r="D12" s="3" t="str">
        <f t="array" ref="D12">IFERROR(INDEX(ie_records!D:D,MATCH(C12,ie_records!C:C,0)),"NA")</f>
        <v>NA</v>
      </c>
      <c r="E12" s="3">
        <f t="array" ref="E12">IFERROR(INDEX(enumeration_kad_bau_ada_gombe_y!D:D,MATCH(C12,enumeration_kad_bau_ada_gombe_y!B:B,0)),"NA")</f>
        <v>57611</v>
      </c>
      <c r="F12" s="3">
        <f t="array" ref="F12">IFERROR(INDEX(world_pop!G:G,MATCH(C12,world_pop!F:F,0)),"NA")</f>
        <v>31586</v>
      </c>
      <c r="G12" s="3">
        <f t="array" ref="G12">IFERROR(INDEX(mda_last_round!C:C,MATCH(C12,mda_last_round!E:E,0)),"NA")</f>
        <v>40695</v>
      </c>
      <c r="H12" s="3">
        <f t="array" ref="H12">IFERROR(INDEX(immuization!E:E,MATCH(C12,immuization!C:C,0)),"NA")</f>
        <v>41025</v>
      </c>
    </row>
    <row r="13">
      <c r="A13" s="1" t="s">
        <v>8</v>
      </c>
      <c r="B13" s="1" t="s">
        <v>31</v>
      </c>
      <c r="C13" s="4" t="s">
        <v>32</v>
      </c>
      <c r="D13" s="3" t="str">
        <f t="array" ref="D13">IFERROR(INDEX(ie_records!D:D,MATCH(C13,ie_records!C:C,0)),"NA")</f>
        <v>NA</v>
      </c>
      <c r="E13" s="3">
        <f t="array" ref="E13">IFERROR(INDEX(enumeration_kad_bau_ada_gombe_y!D:D,MATCH(C13,enumeration_kad_bau_ada_gombe_y!B:B,0)),"NA")</f>
        <v>95915</v>
      </c>
      <c r="F13" s="3">
        <f t="array" ref="F13">IFERROR(INDEX(world_pop!G:G,MATCH(C13,world_pop!F:F,0)),"NA")</f>
        <v>51996</v>
      </c>
      <c r="G13" s="3">
        <f t="array" ref="G13">IFERROR(INDEX(mda_last_round!C:C,MATCH(C13,mda_last_round!E:E,0)),"NA")</f>
        <v>93535</v>
      </c>
      <c r="H13" s="3">
        <f t="array" ref="H13">IFERROR(INDEX(immuization!E:E,MATCH(C13,immuization!C:C,0)),"NA")</f>
        <v>53732</v>
      </c>
    </row>
    <row r="14">
      <c r="A14" s="1" t="s">
        <v>8</v>
      </c>
      <c r="B14" s="1" t="s">
        <v>33</v>
      </c>
      <c r="C14" s="1" t="s">
        <v>34</v>
      </c>
      <c r="D14" s="3" t="str">
        <f t="array" ref="D14">IFERROR(INDEX(ie_records!D:D,MATCH(C14,ie_records!C:C,0)),"NA")</f>
        <v>NA</v>
      </c>
      <c r="E14" s="3">
        <f t="array" ref="E14">IFERROR(INDEX(enumeration_kad_bau_ada_gombe_y!D:D,MATCH(C14,enumeration_kad_bau_ada_gombe_y!B:B,0)),"NA")</f>
        <v>63488</v>
      </c>
      <c r="F14" s="3">
        <f t="array" ref="F14">IFERROR(INDEX(world_pop!G:G,MATCH(C14,world_pop!F:F,0)),"NA")</f>
        <v>44387</v>
      </c>
      <c r="G14" s="3">
        <f t="array" ref="G14">IFERROR(INDEX(mda_last_round!C:C,MATCH(C14,mda_last_round!E:E,0)),"NA")</f>
        <v>45984</v>
      </c>
      <c r="H14" s="3">
        <f t="array" ref="H14">IFERROR(INDEX(immuization!E:E,MATCH(C14,immuization!C:C,0)),"NA")</f>
        <v>47642</v>
      </c>
    </row>
    <row r="15">
      <c r="A15" s="1" t="s">
        <v>8</v>
      </c>
      <c r="B15" s="1" t="s">
        <v>35</v>
      </c>
      <c r="C15" s="1" t="s">
        <v>36</v>
      </c>
      <c r="D15" s="3" t="str">
        <f t="array" ref="D15">IFERROR(INDEX(ie_records!D:D,MATCH(C15,ie_records!C:C,0)),"NA")</f>
        <v>NA</v>
      </c>
      <c r="E15" s="3">
        <f t="array" ref="E15">IFERROR(INDEX(enumeration_kad_bau_ada_gombe_y!D:D,MATCH(C15,enumeration_kad_bau_ada_gombe_y!B:B,0)),"NA")</f>
        <v>56045</v>
      </c>
      <c r="F15" s="3">
        <f t="array" ref="F15">IFERROR(INDEX(world_pop!G:G,MATCH(C15,world_pop!F:F,0)),"NA")</f>
        <v>49297</v>
      </c>
      <c r="G15" s="3">
        <f t="array" ref="G15">IFERROR(INDEX(mda_last_round!C:C,MATCH(C15,mda_last_round!E:E,0)),"NA")</f>
        <v>38841</v>
      </c>
      <c r="H15" s="3">
        <f t="array" ref="H15">IFERROR(INDEX(immuization!E:E,MATCH(C15,immuization!C:C,0)),"NA")</f>
        <v>72129</v>
      </c>
    </row>
    <row r="16">
      <c r="A16" s="1" t="s">
        <v>8</v>
      </c>
      <c r="B16" s="1" t="s">
        <v>37</v>
      </c>
      <c r="C16" s="1" t="s">
        <v>38</v>
      </c>
      <c r="D16" s="3" t="str">
        <f t="array" ref="D16">IFERROR(INDEX(ie_records!D:D,MATCH(C16,ie_records!C:C,0)),"NA")</f>
        <v>NA</v>
      </c>
      <c r="E16" s="3">
        <f t="array" ref="E16">IFERROR(INDEX(enumeration_kad_bau_ada_gombe_y!D:D,MATCH(C16,enumeration_kad_bau_ada_gombe_y!B:B,0)),"NA")</f>
        <v>65614</v>
      </c>
      <c r="F16" s="3">
        <f t="array" ref="F16">IFERROR(INDEX(world_pop!G:G,MATCH(C16,world_pop!F:F,0)),"NA")</f>
        <v>45336</v>
      </c>
      <c r="G16" s="3">
        <f t="array" ref="G16">IFERROR(INDEX(mda_last_round!C:C,MATCH(C16,mda_last_round!E:E,0)),"NA")</f>
        <v>50615</v>
      </c>
      <c r="H16" s="3">
        <f t="array" ref="H16">IFERROR(INDEX(immuization!E:E,MATCH(C16,immuization!C:C,0)),"NA")</f>
        <v>63412</v>
      </c>
    </row>
    <row r="17">
      <c r="A17" s="1" t="s">
        <v>8</v>
      </c>
      <c r="B17" s="1" t="s">
        <v>39</v>
      </c>
      <c r="C17" s="1" t="s">
        <v>40</v>
      </c>
      <c r="D17" s="3" t="str">
        <f t="array" ref="D17">IFERROR(INDEX(ie_records!D:D,MATCH(C17,ie_records!C:C,0)),"NA")</f>
        <v>NA</v>
      </c>
      <c r="E17" s="3">
        <f t="array" ref="E17">IFERROR(INDEX(enumeration_kad_bau_ada_gombe_y!D:D,MATCH(C17,enumeration_kad_bau_ada_gombe_y!B:B,0)),"NA")</f>
        <v>51760</v>
      </c>
      <c r="F17" s="3">
        <f t="array" ref="F17">IFERROR(INDEX(world_pop!G:G,MATCH(C17,world_pop!F:F,0)),"NA")</f>
        <v>28033</v>
      </c>
      <c r="G17" s="3">
        <f t="array" ref="G17">IFERROR(INDEX(mda_last_round!C:C,MATCH(C17,mda_last_round!E:E,0)),"NA")</f>
        <v>36716</v>
      </c>
      <c r="H17" s="3">
        <f t="array" ref="H17">IFERROR(INDEX(immuization!E:E,MATCH(C17,immuization!C:C,0)),"NA")</f>
        <v>37706</v>
      </c>
    </row>
    <row r="18">
      <c r="A18" s="1" t="s">
        <v>8</v>
      </c>
      <c r="B18" s="1" t="s">
        <v>41</v>
      </c>
      <c r="C18" s="1" t="s">
        <v>42</v>
      </c>
      <c r="D18" s="3" t="str">
        <f t="array" ref="D18">IFERROR(INDEX(ie_records!D:D,MATCH(C18,ie_records!C:C,0)),"NA")</f>
        <v>NA</v>
      </c>
      <c r="E18" s="3">
        <f t="array" ref="E18">IFERROR(INDEX(enumeration_kad_bau_ada_gombe_y!D:D,MATCH(C18,enumeration_kad_bau_ada_gombe_y!B:B,0)),"NA")</f>
        <v>61305</v>
      </c>
      <c r="F18" s="3">
        <f t="array" ref="F18">IFERROR(INDEX(world_pop!G:G,MATCH(C18,world_pop!F:F,0)),"NA")</f>
        <v>42383</v>
      </c>
      <c r="G18" s="3">
        <f t="array" ref="G18">IFERROR(INDEX(mda_last_round!C:C,MATCH(C18,mda_last_round!E:E,0)),"NA")</f>
        <v>50898</v>
      </c>
      <c r="H18" s="3">
        <f t="array" ref="H18">IFERROR(INDEX(immuization!E:E,MATCH(C18,immuization!C:C,0)),"NA")</f>
        <v>52008</v>
      </c>
    </row>
    <row r="19">
      <c r="A19" s="1" t="s">
        <v>8</v>
      </c>
      <c r="B19" s="1" t="s">
        <v>43</v>
      </c>
      <c r="C19" s="1" t="s">
        <v>44</v>
      </c>
      <c r="D19" s="3" t="str">
        <f t="array" ref="D19">IFERROR(INDEX(ie_records!D:D,MATCH(C19,ie_records!C:C,0)),"NA")</f>
        <v>NA</v>
      </c>
      <c r="E19" s="3">
        <f t="array" ref="E19">IFERROR(INDEX(enumeration_kad_bau_ada_gombe_y!D:D,MATCH(C19,enumeration_kad_bau_ada_gombe_y!B:B,0)),"NA")</f>
        <v>91102</v>
      </c>
      <c r="F19" s="3">
        <f t="array" ref="F19">IFERROR(INDEX(world_pop!G:G,MATCH(C19,world_pop!F:F,0)),"NA")</f>
        <v>63589</v>
      </c>
      <c r="G19" s="3">
        <f t="array" ref="G19">IFERROR(INDEX(mda_last_round!C:C,MATCH(C19,mda_last_round!E:E,0)),"NA")</f>
        <v>83227</v>
      </c>
      <c r="H19" s="3">
        <f t="array" ref="H19">IFERROR(INDEX(immuization!E:E,MATCH(C19,immuization!C:C,0)),"NA")</f>
        <v>68762</v>
      </c>
    </row>
    <row r="20">
      <c r="A20" s="1" t="s">
        <v>8</v>
      </c>
      <c r="B20" s="1" t="s">
        <v>45</v>
      </c>
      <c r="C20" s="1" t="s">
        <v>46</v>
      </c>
      <c r="D20" s="3" t="str">
        <f t="array" ref="D20">IFERROR(INDEX(ie_records!D:D,MATCH(C20,ie_records!C:C,0)),"NA")</f>
        <v>NA</v>
      </c>
      <c r="E20" s="3">
        <f t="array" ref="E20">IFERROR(INDEX(enumeration_kad_bau_ada_gombe_y!D:D,MATCH(C20,enumeration_kad_bau_ada_gombe_y!B:B,0)),"NA")</f>
        <v>39538</v>
      </c>
      <c r="F20" s="3">
        <f t="array" ref="F20">IFERROR(INDEX(world_pop!G:G,MATCH(C20,world_pop!F:F,0)),"NA")</f>
        <v>17274</v>
      </c>
      <c r="G20" s="3">
        <f t="array" ref="G20">IFERROR(INDEX(mda_last_round!C:C,MATCH(C20,mda_last_round!E:E,0)),"NA")</f>
        <v>31101</v>
      </c>
      <c r="H20" s="3">
        <f t="array" ref="H20">IFERROR(INDEX(immuization!E:E,MATCH(C20,immuization!C:C,0)),"NA")</f>
        <v>39584</v>
      </c>
    </row>
    <row r="21">
      <c r="A21" s="1" t="s">
        <v>8</v>
      </c>
      <c r="B21" s="1" t="s">
        <v>47</v>
      </c>
      <c r="C21" s="1" t="s">
        <v>48</v>
      </c>
      <c r="D21" s="3" t="str">
        <f t="array" ref="D21">IFERROR(INDEX(ie_records!D:D,MATCH(C21,ie_records!C:C,0)),"NA")</f>
        <v>NA</v>
      </c>
      <c r="E21" s="3">
        <f t="array" ref="E21">IFERROR(INDEX(enumeration_kad_bau_ada_gombe_y!D:D,MATCH(C21,enumeration_kad_bau_ada_gombe_y!B:B,0)),"NA")</f>
        <v>43469</v>
      </c>
      <c r="F21" s="3">
        <f t="array" ref="F21">IFERROR(INDEX(world_pop!G:G,MATCH(C21,world_pop!F:F,0)),"NA")</f>
        <v>52866</v>
      </c>
      <c r="G21" s="3">
        <f t="array" ref="G21">IFERROR(INDEX(mda_last_round!C:C,MATCH(C21,mda_last_round!E:E,0)),"NA")</f>
        <v>38447</v>
      </c>
      <c r="H21" s="3">
        <f t="array" ref="H21">IFERROR(INDEX(immuization!E:E,MATCH(C21,immuization!C:C,0)),"NA")</f>
        <v>55147</v>
      </c>
    </row>
    <row r="22">
      <c r="A22" s="1" t="s">
        <v>8</v>
      </c>
      <c r="B22" s="1" t="s">
        <v>49</v>
      </c>
      <c r="C22" s="1" t="s">
        <v>50</v>
      </c>
      <c r="D22" s="3" t="str">
        <f t="array" ref="D22">IFERROR(INDEX(ie_records!D:D,MATCH(C22,ie_records!C:C,0)),"NA")</f>
        <v>NA</v>
      </c>
      <c r="E22" s="3">
        <f t="array" ref="E22">IFERROR(INDEX(enumeration_kad_bau_ada_gombe_y!D:D,MATCH(C22,enumeration_kad_bau_ada_gombe_y!B:B,0)),"NA")</f>
        <v>134068</v>
      </c>
      <c r="F22" s="3">
        <f t="array" ref="F22">IFERROR(INDEX(world_pop!G:G,MATCH(C22,world_pop!F:F,0)),"NA")</f>
        <v>98501</v>
      </c>
      <c r="G22" s="3">
        <f t="array" ref="G22">IFERROR(INDEX(mda_last_round!C:C,MATCH(C22,mda_last_round!E:E,0)),"NA")</f>
        <v>116690</v>
      </c>
      <c r="H22" s="3">
        <f t="array" ref="H22">IFERROR(INDEX(immuization!E:E,MATCH(C22,immuization!C:C,0)),"NA")</f>
        <v>158842</v>
      </c>
    </row>
    <row r="23">
      <c r="A23" s="1" t="s">
        <v>51</v>
      </c>
      <c r="B23" s="1" t="s">
        <v>52</v>
      </c>
      <c r="C23" s="1" t="s">
        <v>53</v>
      </c>
      <c r="D23" s="3" t="str">
        <f t="array" ref="D23">IFERROR(INDEX(ie_records!D:D,MATCH(C23,ie_records!C:C,0)),"NA")</f>
        <v>NA</v>
      </c>
      <c r="E23" s="3">
        <f t="array" ref="E23">IFERROR(INDEX(enumeration_kad_bau_ada_gombe_y!D:D,MATCH(C23,enumeration_kad_bau_ada_gombe_y!B:B,0)),"NA")</f>
        <v>65087</v>
      </c>
      <c r="F23" s="3">
        <f t="array" ref="F23">IFERROR(INDEX(world_pop!G:G,MATCH(C23,world_pop!F:F,0)),"NA")</f>
        <v>99200</v>
      </c>
      <c r="G23" s="3">
        <f t="array" ref="G23">IFERROR(INDEX(mda_last_round!C:C,MATCH(C23,mda_last_round!E:E,0)),"NA")</f>
        <v>55306</v>
      </c>
      <c r="H23" s="3">
        <f t="array" ref="H23">IFERROR(INDEX(immuization!E:E,MATCH(C23,immuization!C:C,0)),"NA")</f>
        <v>104368</v>
      </c>
    </row>
    <row r="24">
      <c r="A24" s="1" t="s">
        <v>51</v>
      </c>
      <c r="B24" s="1" t="s">
        <v>51</v>
      </c>
      <c r="C24" s="1" t="s">
        <v>54</v>
      </c>
      <c r="D24" s="3" t="str">
        <f t="array" ref="D24">IFERROR(INDEX(ie_records!D:D,MATCH(C24,ie_records!C:C,0)),"NA")</f>
        <v>NA</v>
      </c>
      <c r="E24" s="3">
        <f t="array" ref="E24">IFERROR(INDEX(enumeration_kad_bau_ada_gombe_y!D:D,MATCH(C24,enumeration_kad_bau_ada_gombe_y!B:B,0)),"NA")</f>
        <v>174478</v>
      </c>
      <c r="F24" s="3">
        <f t="array" ref="F24">IFERROR(INDEX(world_pop!G:G,MATCH(C24,world_pop!F:F,0)),"NA")</f>
        <v>224550</v>
      </c>
      <c r="G24" s="3">
        <f t="array" ref="G24">IFERROR(INDEX(mda_last_round!C:C,MATCH(C24,mda_last_round!E:E,0)),"NA")</f>
        <v>157321</v>
      </c>
      <c r="H24" s="3">
        <f t="array" ref="H24">IFERROR(INDEX(immuization!E:E,MATCH(C24,immuization!C:C,0)),"NA")</f>
        <v>348909</v>
      </c>
    </row>
    <row r="25">
      <c r="A25" s="1" t="s">
        <v>51</v>
      </c>
      <c r="B25" s="1" t="s">
        <v>55</v>
      </c>
      <c r="C25" s="1" t="s">
        <v>56</v>
      </c>
      <c r="D25" s="3" t="str">
        <f t="array" ref="D25">IFERROR(INDEX(ie_records!D:D,MATCH(C25,ie_records!C:C,0)),"NA")</f>
        <v>NA</v>
      </c>
      <c r="E25" s="3">
        <f t="array" ref="E25">IFERROR(INDEX(enumeration_kad_bau_ada_gombe_y!D:D,MATCH(C25,enumeration_kad_bau_ada_gombe_y!B:B,0)),"NA")</f>
        <v>25206</v>
      </c>
      <c r="F25" s="3">
        <f t="array" ref="F25">IFERROR(INDEX(world_pop!G:G,MATCH(C25,world_pop!F:F,0)),"NA")</f>
        <v>16902</v>
      </c>
      <c r="G25" s="3">
        <f t="array" ref="G25">IFERROR(INDEX(mda_last_round!C:C,MATCH(C25,mda_last_round!E:E,0)),"NA")</f>
        <v>26064</v>
      </c>
      <c r="H25" s="3">
        <f t="array" ref="H25">IFERROR(INDEX(immuization!E:E,MATCH(C25,immuization!C:C,0)),"NA")</f>
        <v>52820</v>
      </c>
    </row>
    <row r="26">
      <c r="A26" s="1" t="s">
        <v>51</v>
      </c>
      <c r="B26" s="1" t="s">
        <v>57</v>
      </c>
      <c r="C26" s="4" t="s">
        <v>58</v>
      </c>
      <c r="D26" s="3" t="str">
        <f t="array" ref="D26">IFERROR(INDEX(ie_records!D:D,MATCH(C26,ie_records!C:C,0)),"NA")</f>
        <v>NA</v>
      </c>
      <c r="E26" s="3">
        <f t="array" ref="E26">IFERROR(INDEX(enumeration_kad_bau_ada_gombe_y!D:D,MATCH(C26,enumeration_kad_bau_ada_gombe_y!B:B,0)),"NA")</f>
        <v>39899</v>
      </c>
      <c r="F26" s="3">
        <f t="array" ref="F26">IFERROR(INDEX(world_pop!G:G,MATCH(C26,world_pop!F:F,0)),"NA")</f>
        <v>43511</v>
      </c>
      <c r="G26" s="3">
        <f t="array" ref="G26">IFERROR(INDEX(mda_last_round!C:C,MATCH(C26,mda_last_round!E:E,0)),"NA")</f>
        <v>33458</v>
      </c>
      <c r="H26" s="3">
        <f t="array" ref="H26">IFERROR(INDEX(immuization!E:E,MATCH(C26,immuization!C:C,0)),"NA")</f>
        <v>71163</v>
      </c>
    </row>
    <row r="27">
      <c r="A27" s="1" t="s">
        <v>51</v>
      </c>
      <c r="B27" s="1" t="s">
        <v>59</v>
      </c>
      <c r="C27" s="1" t="s">
        <v>60</v>
      </c>
      <c r="D27" s="3" t="str">
        <f t="array" ref="D27">IFERROR(INDEX(ie_records!D:D,MATCH(C27,ie_records!C:C,0)),"NA")</f>
        <v>NA</v>
      </c>
      <c r="E27" s="3">
        <f t="array" ref="E27">IFERROR(INDEX(enumeration_kad_bau_ada_gombe_y!D:D,MATCH(C27,enumeration_kad_bau_ada_gombe_y!B:B,0)),"NA")</f>
        <v>83903</v>
      </c>
      <c r="F27" s="3">
        <f t="array" ref="F27">IFERROR(INDEX(world_pop!G:G,MATCH(C27,world_pop!F:F,0)),"NA")</f>
        <v>93304</v>
      </c>
      <c r="G27" s="3">
        <f t="array" ref="G27">IFERROR(INDEX(mda_last_round!C:C,MATCH(C27,mda_last_round!E:E,0)),"NA")</f>
        <v>66959</v>
      </c>
      <c r="H27" s="3">
        <f t="array" ref="H27">IFERROR(INDEX(immuization!E:E,MATCH(C27,immuization!C:C,0)),"NA")</f>
        <v>111473</v>
      </c>
    </row>
    <row r="28">
      <c r="A28" s="1" t="s">
        <v>51</v>
      </c>
      <c r="B28" s="1" t="s">
        <v>61</v>
      </c>
      <c r="C28" s="1" t="s">
        <v>62</v>
      </c>
      <c r="D28" s="3" t="str">
        <f t="array" ref="D28">IFERROR(INDEX(ie_records!D:D,MATCH(C28,ie_records!C:C,0)),"NA")</f>
        <v>NA</v>
      </c>
      <c r="E28" s="3">
        <f t="array" ref="E28">IFERROR(INDEX(enumeration_kad_bau_ada_gombe_y!D:D,MATCH(C28,enumeration_kad_bau_ada_gombe_y!B:B,0)),"NA")</f>
        <v>28345</v>
      </c>
      <c r="F28" s="3">
        <f t="array" ref="F28">IFERROR(INDEX(world_pop!G:G,MATCH(C28,world_pop!F:F,0)),"NA")</f>
        <v>20157</v>
      </c>
      <c r="G28" s="3">
        <f t="array" ref="G28">IFERROR(INDEX(mda_last_round!C:C,MATCH(C28,mda_last_round!E:E,0)),"NA")</f>
        <v>27493</v>
      </c>
      <c r="H28" s="3">
        <f t="array" ref="H28">IFERROR(INDEX(immuization!E:E,MATCH(C28,immuization!C:C,0)),"NA")</f>
        <v>54560</v>
      </c>
    </row>
    <row r="29">
      <c r="A29" s="1" t="s">
        <v>51</v>
      </c>
      <c r="B29" s="1" t="s">
        <v>63</v>
      </c>
      <c r="C29" s="1" t="s">
        <v>64</v>
      </c>
      <c r="D29" s="3" t="str">
        <f t="array" ref="D29">IFERROR(INDEX(ie_records!D:D,MATCH(C29,ie_records!C:C,0)),"NA")</f>
        <v>NA</v>
      </c>
      <c r="E29" s="3">
        <f t="array" ref="E29">IFERROR(INDEX(enumeration_kad_bau_ada_gombe_y!D:D,MATCH(C29,enumeration_kad_bau_ada_gombe_y!B:B,0)),"NA")</f>
        <v>101219</v>
      </c>
      <c r="F29" s="3">
        <f t="array" ref="F29">IFERROR(INDEX(world_pop!G:G,MATCH(C29,world_pop!F:F,0)),"NA")</f>
        <v>86907</v>
      </c>
      <c r="G29" s="3">
        <f t="array" ref="G29">IFERROR(INDEX(mda_last_round!C:C,MATCH(C29,mda_last_round!E:E,0)),"NA")</f>
        <v>97939</v>
      </c>
      <c r="H29" s="3">
        <f t="array" ref="H29">IFERROR(INDEX(immuization!E:E,MATCH(C29,immuization!C:C,0)),"NA")</f>
        <v>139976</v>
      </c>
    </row>
    <row r="30">
      <c r="A30" s="1" t="s">
        <v>51</v>
      </c>
      <c r="B30" s="1" t="s">
        <v>65</v>
      </c>
      <c r="C30" s="1" t="s">
        <v>66</v>
      </c>
      <c r="D30" s="3" t="str">
        <f t="array" ref="D30">IFERROR(INDEX(ie_records!D:D,MATCH(C30,ie_records!C:C,0)),"NA")</f>
        <v>NA</v>
      </c>
      <c r="E30" s="3">
        <f t="array" ref="E30">IFERROR(INDEX(enumeration_kad_bau_ada_gombe_y!D:D,MATCH(C30,enumeration_kad_bau_ada_gombe_y!B:B,0)),"NA")</f>
        <v>84684</v>
      </c>
      <c r="F30" s="3">
        <f t="array" ref="F30">IFERROR(INDEX(world_pop!G:G,MATCH(C30,world_pop!F:F,0)),"NA")</f>
        <v>144153</v>
      </c>
      <c r="G30" s="3">
        <f t="array" ref="G30">IFERROR(INDEX(mda_last_round!C:C,MATCH(C30,mda_last_round!E:E,0)),"NA")</f>
        <v>74181</v>
      </c>
      <c r="H30" s="3">
        <f t="array" ref="H30">IFERROR(INDEX(immuization!E:E,MATCH(C30,immuization!C:C,0)),"NA")</f>
        <v>113535</v>
      </c>
    </row>
    <row r="31">
      <c r="A31" s="1" t="s">
        <v>51</v>
      </c>
      <c r="B31" s="1" t="s">
        <v>67</v>
      </c>
      <c r="C31" s="1" t="s">
        <v>68</v>
      </c>
      <c r="D31" s="3" t="str">
        <f t="array" ref="D31">IFERROR(INDEX(ie_records!D:D,MATCH(C31,ie_records!C:C,0)),"NA")</f>
        <v>NA</v>
      </c>
      <c r="E31" s="3">
        <f t="array" ref="E31">IFERROR(INDEX(enumeration_kad_bau_ada_gombe_y!D:D,MATCH(C31,enumeration_kad_bau_ada_gombe_y!B:B,0)),"NA")</f>
        <v>47015</v>
      </c>
      <c r="F31" s="3">
        <f t="array" ref="F31">IFERROR(INDEX(world_pop!G:G,MATCH(C31,world_pop!F:F,0)),"NA")</f>
        <v>54536</v>
      </c>
      <c r="G31" s="3">
        <f t="array" ref="G31">IFERROR(INDEX(mda_last_round!C:C,MATCH(C31,mda_last_round!E:E,0)),"NA")</f>
        <v>41669</v>
      </c>
      <c r="H31" s="3">
        <f t="array" ref="H31">IFERROR(INDEX(immuization!E:E,MATCH(C31,immuization!C:C,0)),"NA")</f>
        <v>58540</v>
      </c>
    </row>
    <row r="32">
      <c r="A32" s="1" t="s">
        <v>51</v>
      </c>
      <c r="B32" s="1" t="s">
        <v>69</v>
      </c>
      <c r="C32" s="4" t="s">
        <v>70</v>
      </c>
      <c r="D32" s="3" t="str">
        <f t="array" ref="D32">IFERROR(INDEX(ie_records!D:D,MATCH(C32,ie_records!C:C,0)),"NA")</f>
        <v>NA</v>
      </c>
      <c r="E32" s="3">
        <f t="array" ref="E32">IFERROR(INDEX(enumeration_kad_bau_ada_gombe_y!D:D,MATCH(C32,enumeration_kad_bau_ada_gombe_y!B:B,0)),"NA")</f>
        <v>92458</v>
      </c>
      <c r="F32" s="3">
        <f t="array" ref="F32">IFERROR(INDEX(world_pop!G:G,MATCH(C32,world_pop!F:F,0)),"NA")</f>
        <v>68955</v>
      </c>
      <c r="G32" s="3">
        <f t="array" ref="G32">IFERROR(INDEX(mda_last_round!C:C,MATCH(C32,mda_last_round!E:E,0)),"NA")</f>
        <v>76434</v>
      </c>
      <c r="H32" s="3">
        <f t="array" ref="H32">IFERROR(INDEX(immuization!E:E,MATCH(C32,immuization!C:C,0)),"NA")</f>
        <v>92045</v>
      </c>
    </row>
    <row r="33">
      <c r="A33" s="1" t="s">
        <v>51</v>
      </c>
      <c r="B33" s="1" t="s">
        <v>71</v>
      </c>
      <c r="C33" s="1" t="s">
        <v>72</v>
      </c>
      <c r="D33" s="3" t="str">
        <f t="array" ref="D33">IFERROR(INDEX(ie_records!D:D,MATCH(C33,ie_records!C:C,0)),"NA")</f>
        <v>NA</v>
      </c>
      <c r="E33" s="3">
        <f t="array" ref="E33">IFERROR(INDEX(enumeration_kad_bau_ada_gombe_y!D:D,MATCH(C33,enumeration_kad_bau_ada_gombe_y!B:B,0)),"NA")</f>
        <v>40984</v>
      </c>
      <c r="F33" s="3">
        <f t="array" ref="F33">IFERROR(INDEX(world_pop!G:G,MATCH(C33,world_pop!F:F,0)),"NA")</f>
        <v>23448</v>
      </c>
      <c r="G33" s="3">
        <f t="array" ref="G33">IFERROR(INDEX(mda_last_round!C:C,MATCH(C33,mda_last_round!E:E,0)),"NA")</f>
        <v>37355</v>
      </c>
      <c r="H33" s="3">
        <f t="array" ref="H33">IFERROR(INDEX(immuization!E:E,MATCH(C33,immuization!C:C,0)),"NA")</f>
        <v>44065</v>
      </c>
    </row>
    <row r="34">
      <c r="A34" s="1" t="s">
        <v>51</v>
      </c>
      <c r="B34" s="1" t="s">
        <v>73</v>
      </c>
      <c r="C34" s="1" t="s">
        <v>74</v>
      </c>
      <c r="D34" s="3" t="str">
        <f t="array" ref="D34">IFERROR(INDEX(ie_records!D:D,MATCH(C34,ie_records!C:C,0)),"NA")</f>
        <v>NA</v>
      </c>
      <c r="E34" s="3">
        <f t="array" ref="E34">IFERROR(INDEX(enumeration_kad_bau_ada_gombe_y!D:D,MATCH(C34,enumeration_kad_bau_ada_gombe_y!B:B,0)),"NA")</f>
        <v>83428</v>
      </c>
      <c r="F34" s="3">
        <f t="array" ref="F34">IFERROR(INDEX(world_pop!G:G,MATCH(C34,world_pop!F:F,0)),"NA")</f>
        <v>113592</v>
      </c>
      <c r="G34" s="3">
        <f t="array" ref="G34">IFERROR(INDEX(mda_last_round!C:C,MATCH(C34,mda_last_round!E:E,0)),"NA")</f>
        <v>75782</v>
      </c>
      <c r="H34" s="3">
        <f t="array" ref="H34">IFERROR(INDEX(immuization!E:E,MATCH(C34,immuization!C:C,0)),"NA")</f>
        <v>151068</v>
      </c>
    </row>
    <row r="35">
      <c r="A35" s="1" t="s">
        <v>51</v>
      </c>
      <c r="B35" s="1" t="s">
        <v>75</v>
      </c>
      <c r="C35" s="1" t="s">
        <v>76</v>
      </c>
      <c r="D35" s="3" t="str">
        <f t="array" ref="D35">IFERROR(INDEX(ie_records!D:D,MATCH(C35,ie_records!C:C,0)),"NA")</f>
        <v>NA</v>
      </c>
      <c r="E35" s="3">
        <f t="array" ref="E35">IFERROR(INDEX(enumeration_kad_bau_ada_gombe_y!D:D,MATCH(C35,enumeration_kad_bau_ada_gombe_y!B:B,0)),"NA")</f>
        <v>36167</v>
      </c>
      <c r="F35" s="3">
        <f t="array" ref="F35">IFERROR(INDEX(world_pop!G:G,MATCH(C35,world_pop!F:F,0)),"NA")</f>
        <v>51157</v>
      </c>
      <c r="G35" s="3">
        <f t="array" ref="G35">IFERROR(INDEX(mda_last_round!C:C,MATCH(C35,mda_last_round!E:E,0)),"NA")</f>
        <v>30220</v>
      </c>
      <c r="H35" s="3">
        <f t="array" ref="H35">IFERROR(INDEX(immuization!E:E,MATCH(C35,immuization!C:C,0)),"NA")</f>
        <v>53958</v>
      </c>
    </row>
    <row r="36">
      <c r="A36" s="1" t="s">
        <v>51</v>
      </c>
      <c r="B36" s="1" t="s">
        <v>77</v>
      </c>
      <c r="C36" s="1" t="s">
        <v>78</v>
      </c>
      <c r="D36" s="3" t="str">
        <f t="array" ref="D36">IFERROR(INDEX(ie_records!D:D,MATCH(C36,ie_records!C:C,0)),"NA")</f>
        <v>NA</v>
      </c>
      <c r="E36" s="3">
        <f t="array" ref="E36">IFERROR(INDEX(enumeration_kad_bau_ada_gombe_y!D:D,MATCH(C36,enumeration_kad_bau_ada_gombe_y!B:B,0)),"NA")</f>
        <v>59951</v>
      </c>
      <c r="F36" s="3">
        <f t="array" ref="F36">IFERROR(INDEX(world_pop!G:G,MATCH(C36,world_pop!F:F,0)),"NA")</f>
        <v>80088</v>
      </c>
      <c r="G36" s="3">
        <f t="array" ref="G36">IFERROR(INDEX(mda_last_round!C:C,MATCH(C36,mda_last_round!E:E,0)),"NA")</f>
        <v>60182</v>
      </c>
      <c r="H36" s="3">
        <f t="array" ref="H36">IFERROR(INDEX(immuization!E:E,MATCH(C36,immuization!C:C,0)),"NA")</f>
        <v>80443</v>
      </c>
    </row>
    <row r="37">
      <c r="A37" s="1" t="s">
        <v>51</v>
      </c>
      <c r="B37" s="1" t="s">
        <v>79</v>
      </c>
      <c r="C37" s="1" t="s">
        <v>80</v>
      </c>
      <c r="D37" s="3" t="str">
        <f t="array" ref="D37">IFERROR(INDEX(ie_records!D:D,MATCH(C37,ie_records!C:C,0)),"NA")</f>
        <v>NA</v>
      </c>
      <c r="E37" s="3">
        <f t="array" ref="E37">IFERROR(INDEX(enumeration_kad_bau_ada_gombe_y!D:D,MATCH(C37,enumeration_kad_bau_ada_gombe_y!B:B,0)),"NA")</f>
        <v>93223</v>
      </c>
      <c r="F37" s="3">
        <f t="array" ref="F37">IFERROR(INDEX(world_pop!G:G,MATCH(C37,world_pop!F:F,0)),"NA")</f>
        <v>133433</v>
      </c>
      <c r="G37" s="3">
        <f t="array" ref="G37">IFERROR(INDEX(mda_last_round!C:C,MATCH(C37,mda_last_round!E:E,0)),"NA")</f>
        <v>83864</v>
      </c>
      <c r="H37" s="3">
        <f t="array" ref="H37">IFERROR(INDEX(immuization!E:E,MATCH(C37,immuization!C:C,0)),"NA")</f>
        <v>186392</v>
      </c>
    </row>
    <row r="38">
      <c r="A38" s="1" t="s">
        <v>51</v>
      </c>
      <c r="B38" s="1" t="s">
        <v>81</v>
      </c>
      <c r="C38" s="1" t="s">
        <v>82</v>
      </c>
      <c r="D38" s="3" t="str">
        <f t="array" ref="D38">IFERROR(INDEX(ie_records!D:D,MATCH(C38,ie_records!C:C,0)),"NA")</f>
        <v>NA</v>
      </c>
      <c r="E38" s="3">
        <f t="array" ref="E38">IFERROR(INDEX(enumeration_kad_bau_ada_gombe_y!D:D,MATCH(C38,enumeration_kad_bau_ada_gombe_y!B:B,0)),"NA")</f>
        <v>77317</v>
      </c>
      <c r="F38" s="3">
        <f t="array" ref="F38">IFERROR(INDEX(world_pop!G:G,MATCH(C38,world_pop!F:F,0)),"NA")</f>
        <v>69957</v>
      </c>
      <c r="G38" s="3">
        <f t="array" ref="G38">IFERROR(INDEX(mda_last_round!C:C,MATCH(C38,mda_last_round!E:E,0)),"NA")</f>
        <v>56325</v>
      </c>
      <c r="H38" s="3">
        <f t="array" ref="H38">IFERROR(INDEX(immuization!E:E,MATCH(C38,immuization!C:C,0)),"NA")</f>
        <v>80400</v>
      </c>
    </row>
    <row r="39">
      <c r="A39" s="1" t="s">
        <v>51</v>
      </c>
      <c r="B39" s="1" t="s">
        <v>83</v>
      </c>
      <c r="C39" s="4" t="s">
        <v>84</v>
      </c>
      <c r="D39" s="3" t="str">
        <f t="array" ref="D39">IFERROR(INDEX(ie_records!D:D,MATCH(C39,ie_records!C:C,0)),"NA")</f>
        <v>NA</v>
      </c>
      <c r="E39" s="3">
        <f t="array" ref="E39">IFERROR(INDEX(enumeration_kad_bau_ada_gombe_y!D:D,MATCH(C39,enumeration_kad_bau_ada_gombe_y!B:B,0)),"NA")</f>
        <v>84448</v>
      </c>
      <c r="F39" s="3">
        <f t="array" ref="F39">IFERROR(INDEX(world_pop!G:G,MATCH(C39,world_pop!F:F,0)),"NA")</f>
        <v>62706</v>
      </c>
      <c r="G39" s="3">
        <f t="array" ref="G39">IFERROR(INDEX(mda_last_round!C:C,MATCH(C39,mda_last_round!E:E,0)),"NA")</f>
        <v>80016</v>
      </c>
      <c r="H39" s="3">
        <f t="array" ref="H39">IFERROR(INDEX(immuization!E:E,MATCH(C39,immuization!C:C,0)),"NA")</f>
        <v>94457</v>
      </c>
    </row>
    <row r="40">
      <c r="A40" s="1" t="s">
        <v>51</v>
      </c>
      <c r="B40" s="1" t="s">
        <v>85</v>
      </c>
      <c r="C40" s="1" t="s">
        <v>86</v>
      </c>
      <c r="D40" s="3" t="str">
        <f t="array" ref="D40">IFERROR(INDEX(ie_records!D:D,MATCH(C40,ie_records!C:C,0)),"NA")</f>
        <v>NA</v>
      </c>
      <c r="E40" s="3">
        <f t="array" ref="E40">IFERROR(INDEX(enumeration_kad_bau_ada_gombe_y!D:D,MATCH(C40,enumeration_kad_bau_ada_gombe_y!B:B,0)),"NA")</f>
        <v>115142</v>
      </c>
      <c r="F40" s="3">
        <f t="array" ref="F40">IFERROR(INDEX(world_pop!G:G,MATCH(C40,world_pop!F:F,0)),"NA")</f>
        <v>149327</v>
      </c>
      <c r="G40" s="3">
        <f t="array" ref="G40">IFERROR(INDEX(mda_last_round!C:C,MATCH(C40,mda_last_round!E:E,0)),"NA")</f>
        <v>89658</v>
      </c>
      <c r="H40" s="3">
        <f t="array" ref="H40">IFERROR(INDEX(immuization!E:E,MATCH(C40,immuization!C:C,0)),"NA")</f>
        <v>170821</v>
      </c>
    </row>
    <row r="41">
      <c r="A41" s="1" t="s">
        <v>51</v>
      </c>
      <c r="B41" s="1" t="s">
        <v>87</v>
      </c>
      <c r="C41" s="1" t="s">
        <v>88</v>
      </c>
      <c r="D41" s="3" t="str">
        <f t="array" ref="D41">IFERROR(INDEX(ie_records!D:D,MATCH(C41,ie_records!C:C,0)),"NA")</f>
        <v>NA</v>
      </c>
      <c r="E41" s="3">
        <f t="array" ref="E41">IFERROR(INDEX(enumeration_kad_bau_ada_gombe_y!D:D,MATCH(C41,enumeration_kad_bau_ada_gombe_y!B:B,0)),"NA")</f>
        <v>32725</v>
      </c>
      <c r="F41" s="3">
        <f t="array" ref="F41">IFERROR(INDEX(world_pop!G:G,MATCH(C41,world_pop!F:F,0)),"NA")</f>
        <v>25468</v>
      </c>
      <c r="G41" s="3">
        <f t="array" ref="G41">IFERROR(INDEX(mda_last_round!C:C,MATCH(C41,mda_last_round!E:E,0)),"NA")</f>
        <v>28852</v>
      </c>
      <c r="H41" s="3">
        <f t="array" ref="H41">IFERROR(INDEX(immuization!E:E,MATCH(C41,immuization!C:C,0)),"NA")</f>
        <v>47936</v>
      </c>
    </row>
    <row r="42">
      <c r="A42" s="1" t="s">
        <v>51</v>
      </c>
      <c r="B42" s="1" t="s">
        <v>89</v>
      </c>
      <c r="C42" s="1" t="s">
        <v>90</v>
      </c>
      <c r="D42" s="3" t="str">
        <f t="array" ref="D42">IFERROR(INDEX(ie_records!D:D,MATCH(C42,ie_records!C:C,0)),"NA")</f>
        <v>NA</v>
      </c>
      <c r="E42" s="3">
        <f t="array" ref="E42">IFERROR(INDEX(enumeration_kad_bau_ada_gombe_y!D:D,MATCH(C42,enumeration_kad_bau_ada_gombe_y!B:B,0)),"NA")</f>
        <v>54319</v>
      </c>
      <c r="F42" s="3">
        <f t="array" ref="F42">IFERROR(INDEX(world_pop!G:G,MATCH(C42,world_pop!F:F,0)),"NA")</f>
        <v>79629</v>
      </c>
      <c r="G42" s="3">
        <f t="array" ref="G42">IFERROR(INDEX(mda_last_round!C:C,MATCH(C42,mda_last_round!E:E,0)),"NA")</f>
        <v>49267</v>
      </c>
      <c r="H42" s="3">
        <f t="array" ref="H42">IFERROR(INDEX(immuization!E:E,MATCH(C42,immuization!C:C,0)),"NA")</f>
        <v>102641</v>
      </c>
    </row>
    <row r="43">
      <c r="A43" s="1" t="s">
        <v>91</v>
      </c>
      <c r="B43" s="1" t="s">
        <v>92</v>
      </c>
      <c r="C43" s="1" t="s">
        <v>93</v>
      </c>
      <c r="D43" s="3" t="str">
        <f t="array" ref="D43">IFERROR(INDEX(ie_records!D:D,MATCH(C43,ie_records!C:C,0)),"NA")</f>
        <v>NA</v>
      </c>
      <c r="E43" s="3">
        <f t="array" ref="E43">IFERROR(INDEX(enumeration_kad_bau_ada_gombe_y!D:D,MATCH(C43,enumeration_kad_bau_ada_gombe_y!B:B,0)),"NA")</f>
        <v>197210</v>
      </c>
      <c r="F43" s="3">
        <f t="array" ref="F43">IFERROR(INDEX(world_pop!G:G,MATCH(C43,world_pop!F:F,0)),"NA")</f>
        <v>178416</v>
      </c>
      <c r="G43" s="3">
        <f t="array" ref="G43">IFERROR(INDEX(mda_last_round!C:C,MATCH(C43,mda_last_round!E:E,0)),"NA")</f>
        <v>146481</v>
      </c>
      <c r="H43" s="3">
        <f t="array" ref="H43">IFERROR(INDEX(immuization!E:E,MATCH(C43,immuization!C:C,0)),"NA")</f>
        <v>149063</v>
      </c>
    </row>
    <row r="44">
      <c r="A44" s="1" t="s">
        <v>91</v>
      </c>
      <c r="B44" s="1" t="s">
        <v>94</v>
      </c>
      <c r="C44" s="1" t="s">
        <v>95</v>
      </c>
      <c r="D44" s="3" t="str">
        <f t="array" ref="D44">IFERROR(INDEX(ie_records!D:D,MATCH(C44,ie_records!C:C,0)),"NA")</f>
        <v>NA</v>
      </c>
      <c r="E44" s="3">
        <f t="array" ref="E44">IFERROR(INDEX(enumeration_kad_bau_ada_gombe_y!D:D,MATCH(C44,enumeration_kad_bau_ada_gombe_y!B:B,0)),"NA")</f>
        <v>83173</v>
      </c>
      <c r="F44" s="3">
        <f t="array" ref="F44">IFERROR(INDEX(world_pop!G:G,MATCH(C44,world_pop!F:F,0)),"NA")</f>
        <v>72372</v>
      </c>
      <c r="G44" s="3">
        <f t="array" ref="G44">IFERROR(INDEX(mda_last_round!C:C,MATCH(C44,mda_last_round!E:E,0)),"NA")</f>
        <v>59999</v>
      </c>
      <c r="H44" s="3">
        <f t="array" ref="H44">IFERROR(INDEX(immuization!E:E,MATCH(C44,immuization!C:C,0)),"NA")</f>
        <v>68210</v>
      </c>
    </row>
    <row r="45">
      <c r="A45" s="1" t="s">
        <v>91</v>
      </c>
      <c r="B45" s="1" t="s">
        <v>96</v>
      </c>
      <c r="C45" s="1" t="s">
        <v>97</v>
      </c>
      <c r="D45" s="3" t="str">
        <f t="array" ref="D45">IFERROR(INDEX(ie_records!D:D,MATCH(C45,ie_records!C:C,0)),"NA")</f>
        <v>NA</v>
      </c>
      <c r="E45" s="3">
        <f t="array" ref="E45">IFERROR(INDEX(enumeration_kad_bau_ada_gombe_y!D:D,MATCH(C45,enumeration_kad_bau_ada_gombe_y!B:B,0)),"NA")</f>
        <v>68297</v>
      </c>
      <c r="F45" s="3">
        <f t="array" ref="F45">IFERROR(INDEX(world_pop!G:G,MATCH(C45,world_pop!F:F,0)),"NA")</f>
        <v>41378</v>
      </c>
      <c r="G45" s="3">
        <f t="array" ref="G45">IFERROR(INDEX(mda_last_round!C:C,MATCH(C45,mda_last_round!E:E,0)),"NA")</f>
        <v>49797</v>
      </c>
      <c r="H45" s="3">
        <f t="array" ref="H45">IFERROR(INDEX(immuization!E:E,MATCH(C45,immuization!C:C,0)),"NA")</f>
        <v>39403</v>
      </c>
    </row>
    <row r="46">
      <c r="A46" s="1" t="s">
        <v>91</v>
      </c>
      <c r="B46" s="1" t="s">
        <v>98</v>
      </c>
      <c r="C46" s="1" t="s">
        <v>99</v>
      </c>
      <c r="D46" s="3" t="str">
        <f t="array" ref="D46">IFERROR(INDEX(ie_records!D:D,MATCH(C46,ie_records!C:C,0)),"NA")</f>
        <v>NA</v>
      </c>
      <c r="E46" s="3">
        <f t="array" ref="E46">IFERROR(INDEX(enumeration_kad_bau_ada_gombe_y!D:D,MATCH(C46,enumeration_kad_bau_ada_gombe_y!B:B,0)),"NA")</f>
        <v>68291</v>
      </c>
      <c r="F46" s="3">
        <f t="array" ref="F46">IFERROR(INDEX(world_pop!G:G,MATCH(C46,world_pop!F:F,0)),"NA")</f>
        <v>58064</v>
      </c>
      <c r="G46" s="3">
        <f t="array" ref="G46">IFERROR(INDEX(mda_last_round!C:C,MATCH(C46,mda_last_round!E:E,0)),"NA")</f>
        <v>63205</v>
      </c>
      <c r="H46" s="3">
        <f t="array" ref="H46">IFERROR(INDEX(immuization!E:E,MATCH(C46,immuization!C:C,0)),"NA")</f>
        <v>72801</v>
      </c>
    </row>
    <row r="47">
      <c r="A47" s="1" t="s">
        <v>91</v>
      </c>
      <c r="B47" s="1" t="s">
        <v>100</v>
      </c>
      <c r="C47" s="1" t="s">
        <v>101</v>
      </c>
      <c r="D47" s="3" t="str">
        <f t="array" ref="D47">IFERROR(INDEX(ie_records!D:D,MATCH(C47,ie_records!C:C,0)),"NA")</f>
        <v>NA</v>
      </c>
      <c r="E47" s="3">
        <f t="array" ref="E47">IFERROR(INDEX(enumeration_kad_bau_ada_gombe_y!D:D,MATCH(C47,enumeration_kad_bau_ada_gombe_y!B:B,0)),"NA")</f>
        <v>74788</v>
      </c>
      <c r="F47" s="3">
        <f t="array" ref="F47">IFERROR(INDEX(world_pop!G:G,MATCH(C47,world_pop!F:F,0)),"NA")</f>
        <v>64452</v>
      </c>
      <c r="G47" s="3">
        <f t="array" ref="G47">IFERROR(INDEX(mda_last_round!C:C,MATCH(C47,mda_last_round!E:E,0)),"NA")</f>
        <v>60861</v>
      </c>
      <c r="H47" s="3">
        <f t="array" ref="H47">IFERROR(INDEX(immuization!E:E,MATCH(C47,immuization!C:C,0)),"NA")</f>
        <v>69732</v>
      </c>
    </row>
    <row r="48">
      <c r="A48" s="1" t="s">
        <v>91</v>
      </c>
      <c r="B48" s="1" t="s">
        <v>91</v>
      </c>
      <c r="C48" s="1" t="s">
        <v>102</v>
      </c>
      <c r="D48" s="3" t="str">
        <f t="array" ref="D48">IFERROR(INDEX(ie_records!D:D,MATCH(C48,ie_records!C:C,0)),"NA")</f>
        <v>NA</v>
      </c>
      <c r="E48" s="3">
        <f t="array" ref="E48">IFERROR(INDEX(enumeration_kad_bau_ada_gombe_y!D:D,MATCH(C48,enumeration_kad_bau_ada_gombe_y!B:B,0)),"NA")</f>
        <v>75822</v>
      </c>
      <c r="F48" s="3">
        <f t="array" ref="F48">IFERROR(INDEX(world_pop!G:G,MATCH(C48,world_pop!F:F,0)),"NA")</f>
        <v>83383</v>
      </c>
      <c r="G48" s="3">
        <f t="array" ref="G48">IFERROR(INDEX(mda_last_round!C:C,MATCH(C48,mda_last_round!E:E,0)),"NA")</f>
        <v>92109</v>
      </c>
      <c r="H48" s="3">
        <f t="array" ref="H48">IFERROR(INDEX(immuization!E:E,MATCH(C48,immuization!C:C,0)),"NA")</f>
        <v>81651</v>
      </c>
    </row>
    <row r="49">
      <c r="A49" s="1" t="s">
        <v>91</v>
      </c>
      <c r="B49" s="1" t="s">
        <v>103</v>
      </c>
      <c r="C49" s="1" t="s">
        <v>104</v>
      </c>
      <c r="D49" s="3" t="str">
        <f t="array" ref="D49">IFERROR(INDEX(ie_records!D:D,MATCH(C49,ie_records!C:C,0)),"NA")</f>
        <v>NA</v>
      </c>
      <c r="E49" s="3">
        <f t="array" ref="E49">IFERROR(INDEX(enumeration_kad_bau_ada_gombe_y!D:D,MATCH(C49,enumeration_kad_bau_ada_gombe_y!B:B,0)),"NA")</f>
        <v>52889</v>
      </c>
      <c r="F49" s="3">
        <f t="array" ref="F49">IFERROR(INDEX(world_pop!G:G,MATCH(C49,world_pop!F:F,0)),"NA")</f>
        <v>50191</v>
      </c>
      <c r="G49" s="3">
        <f t="array" ref="G49">IFERROR(INDEX(mda_last_round!C:C,MATCH(C49,mda_last_round!E:E,0)),"NA")</f>
        <v>45330</v>
      </c>
      <c r="H49" s="3">
        <f t="array" ref="H49">IFERROR(INDEX(immuization!E:E,MATCH(C49,immuization!C:C,0)),"NA")</f>
        <v>56563</v>
      </c>
    </row>
    <row r="50">
      <c r="A50" s="1" t="s">
        <v>91</v>
      </c>
      <c r="B50" s="1" t="s">
        <v>105</v>
      </c>
      <c r="C50" s="1" t="s">
        <v>106</v>
      </c>
      <c r="D50" s="3" t="str">
        <f t="array" ref="D50">IFERROR(INDEX(ie_records!D:D,MATCH(C50,ie_records!C:C,0)),"NA")</f>
        <v>NA</v>
      </c>
      <c r="E50" s="3">
        <f t="array" ref="E50">IFERROR(INDEX(enumeration_kad_bau_ada_gombe_y!D:D,MATCH(C50,enumeration_kad_bau_ada_gombe_y!B:B,0)),"NA")</f>
        <v>60209</v>
      </c>
      <c r="F50" s="3">
        <f t="array" ref="F50">IFERROR(INDEX(world_pop!G:G,MATCH(C50,world_pop!F:F,0)),"NA")</f>
        <v>61637</v>
      </c>
      <c r="G50" s="3">
        <f t="array" ref="G50">IFERROR(INDEX(mda_last_round!C:C,MATCH(C50,mda_last_round!E:E,0)),"NA")</f>
        <v>47560</v>
      </c>
      <c r="H50" s="3">
        <f t="array" ref="H50">IFERROR(INDEX(immuization!E:E,MATCH(C50,immuization!C:C,0)),"NA")</f>
        <v>61035</v>
      </c>
    </row>
    <row r="51">
      <c r="A51" s="1" t="s">
        <v>91</v>
      </c>
      <c r="B51" s="1" t="s">
        <v>107</v>
      </c>
      <c r="C51" s="1" t="s">
        <v>108</v>
      </c>
      <c r="D51" s="3" t="str">
        <f t="array" ref="D51">IFERROR(INDEX(ie_records!D:D,MATCH(C51,ie_records!C:C,0)),"NA")</f>
        <v>NA</v>
      </c>
      <c r="E51" s="3">
        <f t="array" ref="E51">IFERROR(INDEX(enumeration_kad_bau_ada_gombe_y!D:D,MATCH(C51,enumeration_kad_bau_ada_gombe_y!B:B,0)),"NA")</f>
        <v>62533</v>
      </c>
      <c r="F51" s="3">
        <f t="array" ref="F51">IFERROR(INDEX(world_pop!G:G,MATCH(C51,world_pop!F:F,0)),"NA")</f>
        <v>27846</v>
      </c>
      <c r="G51" s="3">
        <f t="array" ref="G51">IFERROR(INDEX(mda_last_round!C:C,MATCH(C51,mda_last_round!E:E,0)),"NA")</f>
        <v>47928</v>
      </c>
      <c r="H51" s="3">
        <f t="array" ref="H51">IFERROR(INDEX(immuization!E:E,MATCH(C51,immuization!C:C,0)),"NA")</f>
        <v>37411</v>
      </c>
    </row>
    <row r="52">
      <c r="A52" s="1" t="s">
        <v>91</v>
      </c>
      <c r="B52" s="1" t="s">
        <v>109</v>
      </c>
      <c r="C52" s="1" t="s">
        <v>110</v>
      </c>
      <c r="D52" s="3" t="str">
        <f t="array" ref="D52">IFERROR(INDEX(ie_records!D:D,MATCH(C52,ie_records!C:C,0)),"NA")</f>
        <v>NA</v>
      </c>
      <c r="E52" s="3">
        <f t="array" ref="E52">IFERROR(INDEX(enumeration_kad_bau_ada_gombe_y!D:D,MATCH(C52,enumeration_kad_bau_ada_gombe_y!B:B,0)),"NA")</f>
        <v>47149</v>
      </c>
      <c r="F52" s="3">
        <f t="array" ref="F52">IFERROR(INDEX(world_pop!G:G,MATCH(C52,world_pop!F:F,0)),"NA")</f>
        <v>25972</v>
      </c>
      <c r="G52" s="3">
        <f t="array" ref="G52">IFERROR(INDEX(mda_last_round!C:C,MATCH(C52,mda_last_round!E:E,0)),"NA")</f>
        <v>36805</v>
      </c>
      <c r="H52" s="3">
        <f t="array" ref="H52">IFERROR(INDEX(immuization!E:E,MATCH(C52,immuization!C:C,0)),"NA")</f>
        <v>33549</v>
      </c>
    </row>
    <row r="53">
      <c r="A53" s="1" t="s">
        <v>91</v>
      </c>
      <c r="B53" s="1" t="s">
        <v>111</v>
      </c>
      <c r="C53" s="1" t="s">
        <v>112</v>
      </c>
      <c r="D53" s="3" t="str">
        <f t="array" ref="D53">IFERROR(INDEX(ie_records!D:D,MATCH(C53,ie_records!C:C,0)),"NA")</f>
        <v>NA</v>
      </c>
      <c r="E53" s="3">
        <f t="array" ref="E53">IFERROR(INDEX(enumeration_kad_bau_ada_gombe_y!D:D,MATCH(C53,enumeration_kad_bau_ada_gombe_y!B:B,0)),"NA")</f>
        <v>114042</v>
      </c>
      <c r="F53" s="3">
        <f t="array" ref="F53">IFERROR(INDEX(world_pop!G:G,MATCH(C53,world_pop!F:F,0)),"NA")</f>
        <v>123603</v>
      </c>
      <c r="G53" s="3">
        <f t="array" ref="G53">IFERROR(INDEX(mda_last_round!C:C,MATCH(C53,mda_last_round!E:E,0)),"NA")</f>
        <v>84197</v>
      </c>
      <c r="H53" s="3">
        <f t="array" ref="H53">IFERROR(INDEX(immuization!E:E,MATCH(C53,immuization!C:C,0)),"NA")</f>
        <v>86133</v>
      </c>
    </row>
    <row r="54">
      <c r="A54" s="1" t="s">
        <v>113</v>
      </c>
      <c r="B54" s="1" t="s">
        <v>114</v>
      </c>
      <c r="C54" s="1" t="s">
        <v>115</v>
      </c>
      <c r="D54" s="3">
        <f t="array" ref="D54">IFERROR(INDEX(ie_records!D:D,MATCH(C54,ie_records!C:C,0)),"NA")</f>
        <v>28030</v>
      </c>
      <c r="E54" s="3" t="str">
        <f t="array" ref="E54">IFERROR(INDEX(enumeration_kad_bau_ada_gombe_y!D:D,MATCH(C54,enumeration_kad_bau_ada_gombe_y!B:B,0)),"NA")</f>
        <v>NA</v>
      </c>
      <c r="F54" s="3">
        <f t="array" ref="F54">IFERROR(INDEX(world_pop!G:G,MATCH(C54,world_pop!F:F,0)),"NA")</f>
        <v>30946</v>
      </c>
      <c r="G54" s="3">
        <f t="array" ref="G54">IFERROR(INDEX(mda_last_round!C:C,MATCH(C54,mda_last_round!E:E,0)),"NA")</f>
        <v>27171</v>
      </c>
      <c r="H54" s="3">
        <f t="array" ref="H54">IFERROR(INDEX(immuization!E:E,MATCH(C54,immuization!C:C,0)),"NA")</f>
        <v>40855</v>
      </c>
    </row>
    <row r="55">
      <c r="A55" s="1" t="s">
        <v>113</v>
      </c>
      <c r="B55" s="1" t="s">
        <v>116</v>
      </c>
      <c r="C55" s="1" t="s">
        <v>117</v>
      </c>
      <c r="D55" s="3">
        <f t="array" ref="D55">IFERROR(INDEX(ie_records!D:D,MATCH(C55,ie_records!C:C,0)),"NA")</f>
        <v>65758</v>
      </c>
      <c r="E55" s="3" t="str">
        <f t="array" ref="E55">IFERROR(INDEX(enumeration_kad_bau_ada_gombe_y!D:D,MATCH(C55,enumeration_kad_bau_ada_gombe_y!B:B,0)),"NA")</f>
        <v>NA</v>
      </c>
      <c r="F55" s="3">
        <f t="array" ref="F55">IFERROR(INDEX(world_pop!G:G,MATCH(C55,world_pop!F:F,0)),"NA")</f>
        <v>68448</v>
      </c>
      <c r="G55" s="3">
        <f t="array" ref="G55">IFERROR(INDEX(mda_last_round!C:C,MATCH(C55,mda_last_round!E:E,0)),"NA")</f>
        <v>58571</v>
      </c>
      <c r="H55" s="3">
        <f t="array" ref="H55">IFERROR(INDEX(immuization!E:E,MATCH(C55,immuization!C:C,0)),"NA")</f>
        <v>75281</v>
      </c>
    </row>
    <row r="56">
      <c r="A56" s="1" t="s">
        <v>113</v>
      </c>
      <c r="B56" s="1" t="s">
        <v>118</v>
      </c>
      <c r="C56" s="1" t="s">
        <v>119</v>
      </c>
      <c r="D56" s="3">
        <f t="array" ref="D56">IFERROR(INDEX(ie_records!D:D,MATCH(C56,ie_records!C:C,0)),"NA")</f>
        <v>82745</v>
      </c>
      <c r="E56" s="3" t="str">
        <f t="array" ref="E56">IFERROR(INDEX(enumeration_kad_bau_ada_gombe_y!D:D,MATCH(C56,enumeration_kad_bau_ada_gombe_y!B:B,0)),"NA")</f>
        <v>NA</v>
      </c>
      <c r="F56" s="3">
        <f t="array" ref="F56">IFERROR(INDEX(world_pop!G:G,MATCH(C56,world_pop!F:F,0)),"NA")</f>
        <v>114332</v>
      </c>
      <c r="G56" s="3">
        <f t="array" ref="G56">IFERROR(INDEX(mda_last_round!C:C,MATCH(C56,mda_last_round!E:E,0)),"NA")</f>
        <v>97360</v>
      </c>
      <c r="H56" s="3">
        <f t="array" ref="H56">IFERROR(INDEX(immuization!E:E,MATCH(C56,immuization!C:C,0)),"NA")</f>
        <v>159404</v>
      </c>
    </row>
    <row r="57">
      <c r="A57" s="1" t="s">
        <v>113</v>
      </c>
      <c r="B57" s="1" t="s">
        <v>120</v>
      </c>
      <c r="C57" s="1" t="s">
        <v>121</v>
      </c>
      <c r="D57" s="3">
        <f t="array" ref="D57">IFERROR(INDEX(ie_records!D:D,MATCH(C57,ie_records!C:C,0)),"NA")</f>
        <v>38416</v>
      </c>
      <c r="E57" s="3" t="str">
        <f t="array" ref="E57">IFERROR(INDEX(enumeration_kad_bau_ada_gombe_y!D:D,MATCH(C57,enumeration_kad_bau_ada_gombe_y!B:B,0)),"NA")</f>
        <v>NA</v>
      </c>
      <c r="F57" s="3">
        <f t="array" ref="F57">IFERROR(INDEX(world_pop!G:G,MATCH(C57,world_pop!F:F,0)),"NA")</f>
        <v>37827</v>
      </c>
      <c r="G57" s="3">
        <f t="array" ref="G57">IFERROR(INDEX(mda_last_round!C:C,MATCH(C57,mda_last_round!E:E,0)),"NA")</f>
        <v>0</v>
      </c>
      <c r="H57" s="3">
        <f t="array" ref="H57">IFERROR(INDEX(immuization!E:E,MATCH(C57,immuization!C:C,0)),"NA")</f>
        <v>47752</v>
      </c>
    </row>
    <row r="58">
      <c r="A58" s="1" t="s">
        <v>113</v>
      </c>
      <c r="B58" s="1" t="s">
        <v>122</v>
      </c>
      <c r="C58" s="1" t="s">
        <v>123</v>
      </c>
      <c r="D58" s="3">
        <f t="array" ref="D58">IFERROR(INDEX(ie_records!D:D,MATCH(C58,ie_records!C:C,0)),"NA")</f>
        <v>28270</v>
      </c>
      <c r="E58" s="3" t="str">
        <f t="array" ref="E58">IFERROR(INDEX(enumeration_kad_bau_ada_gombe_y!D:D,MATCH(C58,enumeration_kad_bau_ada_gombe_y!B:B,0)),"NA")</f>
        <v>NA</v>
      </c>
      <c r="F58" s="3">
        <f t="array" ref="F58">IFERROR(INDEX(world_pop!G:G,MATCH(C58,world_pop!F:F,0)),"NA")</f>
        <v>34647</v>
      </c>
      <c r="G58" s="3">
        <f t="array" ref="G58">IFERROR(INDEX(mda_last_round!C:C,MATCH(C58,mda_last_round!E:E,0)),"NA")</f>
        <v>32031</v>
      </c>
      <c r="H58" s="3">
        <f t="array" ref="H58">IFERROR(INDEX(immuization!E:E,MATCH(C58,immuization!C:C,0)),"NA")</f>
        <v>49312</v>
      </c>
    </row>
    <row r="59">
      <c r="A59" s="1" t="s">
        <v>113</v>
      </c>
      <c r="B59" s="1" t="s">
        <v>124</v>
      </c>
      <c r="C59" s="1" t="s">
        <v>125</v>
      </c>
      <c r="D59" s="3">
        <f t="array" ref="D59">IFERROR(INDEX(ie_records!D:D,MATCH(C59,ie_records!C:C,0)),"NA")</f>
        <v>64974</v>
      </c>
      <c r="E59" s="3" t="str">
        <f t="array" ref="E59">IFERROR(INDEX(enumeration_kad_bau_ada_gombe_y!D:D,MATCH(C59,enumeration_kad_bau_ada_gombe_y!B:B,0)),"NA")</f>
        <v>NA</v>
      </c>
      <c r="F59" s="3">
        <f t="array" ref="F59">IFERROR(INDEX(world_pop!G:G,MATCH(C59,world_pop!F:F,0)),"NA")</f>
        <v>108475</v>
      </c>
      <c r="G59" s="3">
        <f t="array" ref="G59">IFERROR(INDEX(mda_last_round!C:C,MATCH(C59,mda_last_round!E:E,0)),"NA")</f>
        <v>65694</v>
      </c>
      <c r="H59" s="3">
        <f t="array" ref="H59">IFERROR(INDEX(immuization!E:E,MATCH(C59,immuization!C:C,0)),"NA")</f>
        <v>108436</v>
      </c>
    </row>
    <row r="60">
      <c r="A60" s="1" t="s">
        <v>113</v>
      </c>
      <c r="B60" s="1" t="s">
        <v>126</v>
      </c>
      <c r="C60" s="1" t="s">
        <v>127</v>
      </c>
      <c r="D60" s="3">
        <f t="array" ref="D60">IFERROR(INDEX(ie_records!D:D,MATCH(C60,ie_records!C:C,0)),"NA")</f>
        <v>31959</v>
      </c>
      <c r="E60" s="3" t="str">
        <f t="array" ref="E60">IFERROR(INDEX(enumeration_kad_bau_ada_gombe_y!D:D,MATCH(C60,enumeration_kad_bau_ada_gombe_y!B:B,0)),"NA")</f>
        <v>NA</v>
      </c>
      <c r="F60" s="3">
        <f t="array" ref="F60">IFERROR(INDEX(world_pop!G:G,MATCH(C60,world_pop!F:F,0)),"NA")</f>
        <v>22661</v>
      </c>
      <c r="G60" s="3">
        <f t="array" ref="G60">IFERROR(INDEX(mda_last_round!C:C,MATCH(C60,mda_last_round!E:E,0)),"NA")</f>
        <v>27825</v>
      </c>
      <c r="H60" s="3">
        <f t="array" ref="H60">IFERROR(INDEX(immuization!E:E,MATCH(C60,immuization!C:C,0)),"NA")</f>
        <v>31902</v>
      </c>
    </row>
    <row r="61">
      <c r="A61" s="1" t="s">
        <v>113</v>
      </c>
      <c r="B61" s="1" t="s">
        <v>128</v>
      </c>
      <c r="C61" s="1" t="s">
        <v>129</v>
      </c>
      <c r="D61" s="3">
        <f t="array" ref="D61">IFERROR(INDEX(ie_records!D:D,MATCH(C61,ie_records!C:C,0)),"NA")</f>
        <v>44816</v>
      </c>
      <c r="E61" s="3" t="str">
        <f t="array" ref="E61">IFERROR(INDEX(enumeration_kad_bau_ada_gombe_y!D:D,MATCH(C61,enumeration_kad_bau_ada_gombe_y!B:B,0)),"NA")</f>
        <v>NA</v>
      </c>
      <c r="F61" s="3">
        <f t="array" ref="F61">IFERROR(INDEX(world_pop!G:G,MATCH(C61,world_pop!F:F,0)),"NA")</f>
        <v>66047</v>
      </c>
      <c r="G61" s="3">
        <f t="array" ref="G61">IFERROR(INDEX(mda_last_round!C:C,MATCH(C61,mda_last_round!E:E,0)),"NA")</f>
        <v>40982</v>
      </c>
      <c r="H61" s="3">
        <f t="array" ref="H61">IFERROR(INDEX(immuization!E:E,MATCH(C61,immuization!C:C,0)),"NA")</f>
        <v>60136</v>
      </c>
    </row>
    <row r="62">
      <c r="A62" s="1" t="s">
        <v>113</v>
      </c>
      <c r="B62" s="1" t="s">
        <v>130</v>
      </c>
      <c r="C62" s="1" t="s">
        <v>131</v>
      </c>
      <c r="D62" s="3">
        <f t="array" ref="D62">IFERROR(INDEX(ie_records!D:D,MATCH(C62,ie_records!C:C,0)),"NA")</f>
        <v>26511</v>
      </c>
      <c r="E62" s="3" t="str">
        <f t="array" ref="E62">IFERROR(INDEX(enumeration_kad_bau_ada_gombe_y!D:D,MATCH(C62,enumeration_kad_bau_ada_gombe_y!B:B,0)),"NA")</f>
        <v>NA</v>
      </c>
      <c r="F62" s="3">
        <f t="array" ref="F62">IFERROR(INDEX(world_pop!G:G,MATCH(C62,world_pop!F:F,0)),"NA")</f>
        <v>24673</v>
      </c>
      <c r="G62" s="3">
        <f t="array" ref="G62">IFERROR(INDEX(mda_last_round!C:C,MATCH(C62,mda_last_round!E:E,0)),"NA")</f>
        <v>37680</v>
      </c>
      <c r="H62" s="3">
        <f t="array" ref="H62">IFERROR(INDEX(immuization!E:E,MATCH(C62,immuization!C:C,0)),"NA")</f>
        <v>42417</v>
      </c>
    </row>
    <row r="63">
      <c r="A63" s="1" t="s">
        <v>113</v>
      </c>
      <c r="B63" s="1" t="s">
        <v>132</v>
      </c>
      <c r="C63" s="1" t="s">
        <v>133</v>
      </c>
      <c r="D63" s="3">
        <f t="array" ref="D63">IFERROR(INDEX(ie_records!D:D,MATCH(C63,ie_records!C:C,0)),"NA")</f>
        <v>25562</v>
      </c>
      <c r="E63" s="3" t="str">
        <f t="array" ref="E63">IFERROR(INDEX(enumeration_kad_bau_ada_gombe_y!D:D,MATCH(C63,enumeration_kad_bau_ada_gombe_y!B:B,0)),"NA")</f>
        <v>NA</v>
      </c>
      <c r="F63" s="3">
        <f t="array" ref="F63">IFERROR(INDEX(world_pop!G:G,MATCH(C63,world_pop!F:F,0)),"NA")</f>
        <v>32834</v>
      </c>
      <c r="G63" s="3">
        <f t="array" ref="G63">IFERROR(INDEX(mda_last_round!C:C,MATCH(C63,mda_last_round!E:E,0)),"NA")</f>
        <v>27071</v>
      </c>
      <c r="H63" s="3">
        <f t="array" ref="H63">IFERROR(INDEX(immuization!E:E,MATCH(C63,immuization!C:C,0)),"NA")</f>
        <v>42157</v>
      </c>
    </row>
    <row r="64">
      <c r="A64" s="1" t="s">
        <v>113</v>
      </c>
      <c r="B64" s="1" t="s">
        <v>134</v>
      </c>
      <c r="C64" s="1" t="s">
        <v>135</v>
      </c>
      <c r="D64" s="3">
        <f t="array" ref="D64">IFERROR(INDEX(ie_records!D:D,MATCH(C64,ie_records!C:C,0)),"NA")</f>
        <v>92390</v>
      </c>
      <c r="E64" s="3" t="str">
        <f t="array" ref="E64">IFERROR(INDEX(enumeration_kad_bau_ada_gombe_y!D:D,MATCH(C64,enumeration_kad_bau_ada_gombe_y!B:B,0)),"NA")</f>
        <v>NA</v>
      </c>
      <c r="F64" s="3">
        <f t="array" ref="F64">IFERROR(INDEX(world_pop!G:G,MATCH(C64,world_pop!F:F,0)),"NA")</f>
        <v>95711</v>
      </c>
      <c r="G64" s="3">
        <f t="array" ref="G64">IFERROR(INDEX(mda_last_round!C:C,MATCH(C64,mda_last_round!E:E,0)),"NA")</f>
        <v>71503</v>
      </c>
      <c r="H64" s="3">
        <f t="array" ref="H64">IFERROR(INDEX(immuization!E:E,MATCH(C64,immuization!C:C,0)),"NA")</f>
        <v>162757</v>
      </c>
    </row>
    <row r="65">
      <c r="A65" s="1" t="s">
        <v>113</v>
      </c>
      <c r="B65" s="1" t="s">
        <v>136</v>
      </c>
      <c r="C65" s="1" t="s">
        <v>137</v>
      </c>
      <c r="D65" s="3">
        <f t="array" ref="D65">IFERROR(INDEX(ie_records!D:D,MATCH(C65,ie_records!C:C,0)),"NA")</f>
        <v>29188</v>
      </c>
      <c r="E65" s="3" t="str">
        <f t="array" ref="E65">IFERROR(INDEX(enumeration_kad_bau_ada_gombe_y!D:D,MATCH(C65,enumeration_kad_bau_ada_gombe_y!B:B,0)),"NA")</f>
        <v>NA</v>
      </c>
      <c r="F65" s="3">
        <f t="array" ref="F65">IFERROR(INDEX(world_pop!G:G,MATCH(C65,world_pop!F:F,0)),"NA")</f>
        <v>39932</v>
      </c>
      <c r="G65" s="3">
        <f t="array" ref="G65">IFERROR(INDEX(mda_last_round!C:C,MATCH(C65,mda_last_round!E:E,0)),"NA")</f>
        <v>28565</v>
      </c>
      <c r="H65" s="3">
        <f t="array" ref="H65">IFERROR(INDEX(immuization!E:E,MATCH(C65,immuization!C:C,0)),"NA")</f>
        <v>30957</v>
      </c>
    </row>
    <row r="66">
      <c r="A66" s="1" t="s">
        <v>113</v>
      </c>
      <c r="B66" s="1" t="s">
        <v>138</v>
      </c>
      <c r="C66" s="1" t="s">
        <v>139</v>
      </c>
      <c r="D66" s="3">
        <f t="array" ref="D66">IFERROR(INDEX(ie_records!D:D,MATCH(C66,ie_records!C:C,0)),"NA")</f>
        <v>34798</v>
      </c>
      <c r="E66" s="3" t="str">
        <f t="array" ref="E66">IFERROR(INDEX(enumeration_kad_bau_ada_gombe_y!D:D,MATCH(C66,enumeration_kad_bau_ada_gombe_y!B:B,0)),"NA")</f>
        <v>NA</v>
      </c>
      <c r="F66" s="3">
        <f t="array" ref="F66">IFERROR(INDEX(world_pop!G:G,MATCH(C66,world_pop!F:F,0)),"NA")</f>
        <v>26352</v>
      </c>
      <c r="G66" s="3">
        <f t="array" ref="G66">IFERROR(INDEX(mda_last_round!C:C,MATCH(C66,mda_last_round!E:E,0)),"NA")</f>
        <v>23675</v>
      </c>
      <c r="H66" s="3">
        <f t="array" ref="H66">IFERROR(INDEX(immuization!E:E,MATCH(C66,immuization!C:C,0)),"NA")</f>
        <v>45093</v>
      </c>
    </row>
    <row r="67">
      <c r="A67" s="1" t="s">
        <v>113</v>
      </c>
      <c r="B67" s="1" t="s">
        <v>140</v>
      </c>
      <c r="C67" s="1" t="s">
        <v>141</v>
      </c>
      <c r="D67" s="3">
        <f t="array" ref="D67">IFERROR(INDEX(ie_records!D:D,MATCH(C67,ie_records!C:C,0)),"NA")</f>
        <v>52496</v>
      </c>
      <c r="E67" s="3" t="str">
        <f t="array" ref="E67">IFERROR(INDEX(enumeration_kad_bau_ada_gombe_y!D:D,MATCH(C67,enumeration_kad_bau_ada_gombe_y!B:B,0)),"NA")</f>
        <v>NA</v>
      </c>
      <c r="F67" s="3">
        <f t="array" ref="F67">IFERROR(INDEX(world_pop!G:G,MATCH(C67,world_pop!F:F,0)),"NA")</f>
        <v>82518</v>
      </c>
      <c r="G67" s="3">
        <f t="array" ref="G67">IFERROR(INDEX(mda_last_round!C:C,MATCH(C67,mda_last_round!E:E,0)),"NA")</f>
        <v>61844</v>
      </c>
      <c r="H67" s="3">
        <f t="array" ref="H67">IFERROR(INDEX(immuization!E:E,MATCH(C67,immuization!C:C,0)),"NA")</f>
        <v>84506</v>
      </c>
    </row>
    <row r="68">
      <c r="A68" s="1" t="s">
        <v>113</v>
      </c>
      <c r="B68" s="1" t="s">
        <v>142</v>
      </c>
      <c r="C68" s="1" t="s">
        <v>143</v>
      </c>
      <c r="D68" s="3">
        <f t="array" ref="D68">IFERROR(INDEX(ie_records!D:D,MATCH(C68,ie_records!C:C,0)),"NA")</f>
        <v>48880</v>
      </c>
      <c r="E68" s="3" t="str">
        <f t="array" ref="E68">IFERROR(INDEX(enumeration_kad_bau_ada_gombe_y!D:D,MATCH(C68,enumeration_kad_bau_ada_gombe_y!B:B,0)),"NA")</f>
        <v>NA</v>
      </c>
      <c r="F68" s="3">
        <f t="array" ref="F68">IFERROR(INDEX(world_pop!G:G,MATCH(C68,world_pop!F:F,0)),"NA")</f>
        <v>73799</v>
      </c>
      <c r="G68" s="3">
        <f t="array" ref="G68">IFERROR(INDEX(mda_last_round!C:C,MATCH(C68,mda_last_round!E:E,0)),"NA")</f>
        <v>63820</v>
      </c>
      <c r="H68" s="3">
        <f t="array" ref="H68">IFERROR(INDEX(immuization!E:E,MATCH(C68,immuization!C:C,0)),"NA")</f>
        <v>91986</v>
      </c>
    </row>
    <row r="69">
      <c r="A69" s="1" t="s">
        <v>113</v>
      </c>
      <c r="B69" s="1" t="s">
        <v>144</v>
      </c>
      <c r="C69" s="1" t="s">
        <v>145</v>
      </c>
      <c r="D69" s="3">
        <f t="array" ref="D69">IFERROR(INDEX(ie_records!D:D,MATCH(C69,ie_records!C:C,0)),"NA")</f>
        <v>39014</v>
      </c>
      <c r="E69" s="3" t="str">
        <f t="array" ref="E69">IFERROR(INDEX(enumeration_kad_bau_ada_gombe_y!D:D,MATCH(C69,enumeration_kad_bau_ada_gombe_y!B:B,0)),"NA")</f>
        <v>NA</v>
      </c>
      <c r="F69" s="3">
        <f t="array" ref="F69">IFERROR(INDEX(world_pop!G:G,MATCH(C69,world_pop!F:F,0)),"NA")</f>
        <v>41666</v>
      </c>
      <c r="G69" s="3">
        <f t="array" ref="G69">IFERROR(INDEX(mda_last_round!C:C,MATCH(C69,mda_last_round!E:E,0)),"NA")</f>
        <v>34944</v>
      </c>
      <c r="H69" s="3">
        <f t="array" ref="H69">IFERROR(INDEX(immuization!E:E,MATCH(C69,immuization!C:C,0)),"NA")</f>
        <v>53699</v>
      </c>
    </row>
    <row r="70">
      <c r="A70" s="1" t="s">
        <v>113</v>
      </c>
      <c r="B70" s="1" t="s">
        <v>146</v>
      </c>
      <c r="C70" s="1" t="s">
        <v>147</v>
      </c>
      <c r="D70" s="3">
        <f t="array" ref="D70">IFERROR(INDEX(ie_records!D:D,MATCH(C70,ie_records!C:C,0)),"NA")</f>
        <v>48865</v>
      </c>
      <c r="E70" s="3" t="str">
        <f t="array" ref="E70">IFERROR(INDEX(enumeration_kad_bau_ada_gombe_y!D:D,MATCH(C70,enumeration_kad_bau_ada_gombe_y!B:B,0)),"NA")</f>
        <v>NA</v>
      </c>
      <c r="F70" s="3">
        <f t="array" ref="F70">IFERROR(INDEX(world_pop!G:G,MATCH(C70,world_pop!F:F,0)),"NA")</f>
        <v>56891</v>
      </c>
      <c r="G70" s="3">
        <f t="array" ref="G70">IFERROR(INDEX(mda_last_round!C:C,MATCH(C70,mda_last_round!E:E,0)),"NA")</f>
        <v>39298</v>
      </c>
      <c r="H70" s="3">
        <f t="array" ref="H70">IFERROR(INDEX(immuization!E:E,MATCH(C70,immuization!C:C,0)),"NA")</f>
        <v>51232</v>
      </c>
    </row>
    <row r="71">
      <c r="A71" s="1" t="s">
        <v>113</v>
      </c>
      <c r="B71" s="1" t="s">
        <v>148</v>
      </c>
      <c r="C71" s="3" t="s">
        <v>149</v>
      </c>
      <c r="D71" s="3">
        <f t="array" ref="D71">IFERROR(INDEX(ie_records!D:D,MATCH(C71,ie_records!C:C,0)),"NA")</f>
        <v>40693</v>
      </c>
      <c r="E71" s="3" t="str">
        <f t="array" ref="E71">IFERROR(INDEX(enumeration_kad_bau_ada_gombe_y!D:D,MATCH(C71,enumeration_kad_bau_ada_gombe_y!B:B,0)),"NA")</f>
        <v>NA</v>
      </c>
      <c r="F71" s="3">
        <f t="array" ref="F71">IFERROR(INDEX(world_pop!G:G,MATCH(C71,world_pop!F:F,0)),"NA")</f>
        <v>39681</v>
      </c>
      <c r="G71" s="3">
        <f t="array" ref="G71">IFERROR(INDEX(mda_last_round!C:C,MATCH(C71,mda_last_round!E:E,0)),"NA")</f>
        <v>44719</v>
      </c>
      <c r="H71" s="3">
        <f t="array" ref="H71">IFERROR(INDEX(immuization!E:E,MATCH(C71,immuization!C:C,0)),"NA")</f>
        <v>58221</v>
      </c>
    </row>
    <row r="72">
      <c r="A72" s="1" t="s">
        <v>113</v>
      </c>
      <c r="B72" s="1" t="s">
        <v>150</v>
      </c>
      <c r="C72" s="1" t="s">
        <v>151</v>
      </c>
      <c r="D72" s="3">
        <f t="array" ref="D72">IFERROR(INDEX(ie_records!D:D,MATCH(C72,ie_records!C:C,0)),"NA")</f>
        <v>45754</v>
      </c>
      <c r="E72" s="3" t="str">
        <f t="array" ref="E72">IFERROR(INDEX(enumeration_kad_bau_ada_gombe_y!D:D,MATCH(C72,enumeration_kad_bau_ada_gombe_y!B:B,0)),"NA")</f>
        <v>NA</v>
      </c>
      <c r="F72" s="3">
        <f t="array" ref="F72">IFERROR(INDEX(world_pop!G:G,MATCH(C72,world_pop!F:F,0)),"NA")</f>
        <v>70344</v>
      </c>
      <c r="G72" s="3">
        <f t="array" ref="G72">IFERROR(INDEX(mda_last_round!C:C,MATCH(C72,mda_last_round!E:E,0)),"NA")</f>
        <v>48929</v>
      </c>
      <c r="H72" s="3">
        <f t="array" ref="H72">IFERROR(INDEX(immuization!E:E,MATCH(C72,immuization!C:C,0)),"NA")</f>
        <v>91511</v>
      </c>
    </row>
    <row r="73">
      <c r="A73" s="1" t="s">
        <v>113</v>
      </c>
      <c r="B73" s="1" t="s">
        <v>152</v>
      </c>
      <c r="C73" s="1" t="s">
        <v>153</v>
      </c>
      <c r="D73" s="3">
        <f t="array" ref="D73">IFERROR(INDEX(ie_records!D:D,MATCH(C73,ie_records!C:C,0)),"NA")</f>
        <v>33342</v>
      </c>
      <c r="E73" s="3" t="str">
        <f t="array" ref="E73">IFERROR(INDEX(enumeration_kad_bau_ada_gombe_y!D:D,MATCH(C73,enumeration_kad_bau_ada_gombe_y!B:B,0)),"NA")</f>
        <v>NA</v>
      </c>
      <c r="F73" s="3">
        <f t="array" ref="F73">IFERROR(INDEX(world_pop!G:G,MATCH(C73,world_pop!F:F,0)),"NA")</f>
        <v>36786</v>
      </c>
      <c r="G73" s="3">
        <f t="array" ref="G73">IFERROR(INDEX(mda_last_round!C:C,MATCH(C73,mda_last_round!E:E,0)),"NA")</f>
        <v>37226</v>
      </c>
      <c r="H73" s="3">
        <f t="array" ref="H73">IFERROR(INDEX(immuization!E:E,MATCH(C73,immuization!C:C,0)),"NA")</f>
        <v>52726</v>
      </c>
    </row>
    <row r="74">
      <c r="A74" s="1" t="s">
        <v>113</v>
      </c>
      <c r="B74" s="1" t="s">
        <v>154</v>
      </c>
      <c r="C74" s="1" t="s">
        <v>155</v>
      </c>
      <c r="D74" s="3">
        <f t="array" ref="D74">IFERROR(INDEX(ie_records!D:D,MATCH(C74,ie_records!C:C,0)),"NA")</f>
        <v>35089</v>
      </c>
      <c r="E74" s="3" t="str">
        <f t="array" ref="E74">IFERROR(INDEX(enumeration_kad_bau_ada_gombe_y!D:D,MATCH(C74,enumeration_kad_bau_ada_gombe_y!B:B,0)),"NA")</f>
        <v>NA</v>
      </c>
      <c r="F74" s="3">
        <f t="array" ref="F74">IFERROR(INDEX(world_pop!G:G,MATCH(C74,world_pop!F:F,0)),"NA")</f>
        <v>51447</v>
      </c>
      <c r="G74" s="3">
        <f t="array" ref="G74">IFERROR(INDEX(mda_last_round!C:C,MATCH(C74,mda_last_round!E:E,0)),"NA")</f>
        <v>39468</v>
      </c>
      <c r="H74" s="3">
        <f t="array" ref="H74">IFERROR(INDEX(immuization!E:E,MATCH(C74,immuization!C:C,0)),"NA")</f>
        <v>70324</v>
      </c>
    </row>
    <row r="75">
      <c r="A75" s="1" t="s">
        <v>113</v>
      </c>
      <c r="B75" s="1" t="s">
        <v>156</v>
      </c>
      <c r="C75" s="1" t="s">
        <v>157</v>
      </c>
      <c r="D75" s="3">
        <f t="array" ref="D75">IFERROR(INDEX(ie_records!D:D,MATCH(C75,ie_records!C:C,0)),"NA")</f>
        <v>35460</v>
      </c>
      <c r="E75" s="3" t="str">
        <f t="array" ref="E75">IFERROR(INDEX(enumeration_kad_bau_ada_gombe_y!D:D,MATCH(C75,enumeration_kad_bau_ada_gombe_y!B:B,0)),"NA")</f>
        <v>NA</v>
      </c>
      <c r="F75" s="3">
        <f t="array" ref="F75">IFERROR(INDEX(world_pop!G:G,MATCH(C75,world_pop!F:F,0)),"NA")</f>
        <v>39930</v>
      </c>
      <c r="G75" s="3">
        <f t="array" ref="G75">IFERROR(INDEX(mda_last_round!C:C,MATCH(C75,mda_last_round!E:E,0)),"NA")</f>
        <v>35288</v>
      </c>
      <c r="H75" s="3">
        <f t="array" ref="H75">IFERROR(INDEX(immuization!E:E,MATCH(C75,immuization!C:C,0)),"NA")</f>
        <v>55247</v>
      </c>
    </row>
    <row r="76">
      <c r="A76" s="1" t="s">
        <v>113</v>
      </c>
      <c r="B76" s="1" t="s">
        <v>158</v>
      </c>
      <c r="C76" s="1" t="s">
        <v>159</v>
      </c>
      <c r="D76" s="3">
        <f t="array" ref="D76">IFERROR(INDEX(ie_records!D:D,MATCH(C76,ie_records!C:C,0)),"NA")</f>
        <v>59889</v>
      </c>
      <c r="E76" s="3" t="str">
        <f t="array" ref="E76">IFERROR(INDEX(enumeration_kad_bau_ada_gombe_y!D:D,MATCH(C76,enumeration_kad_bau_ada_gombe_y!B:B,0)),"NA")</f>
        <v>NA</v>
      </c>
      <c r="F76" s="3">
        <f t="array" ref="F76">IFERROR(INDEX(world_pop!G:G,MATCH(C76,world_pop!F:F,0)),"NA")</f>
        <v>99684</v>
      </c>
      <c r="G76" s="3">
        <f t="array" ref="G76">IFERROR(INDEX(mda_last_round!C:C,MATCH(C76,mda_last_round!E:E,0)),"NA")</f>
        <v>44136</v>
      </c>
      <c r="H76" s="3">
        <f t="array" ref="H76">IFERROR(INDEX(immuization!E:E,MATCH(C76,immuization!C:C,0)),"NA")</f>
        <v>73773</v>
      </c>
    </row>
    <row r="77">
      <c r="A77" s="1" t="s">
        <v>113</v>
      </c>
      <c r="B77" s="1" t="s">
        <v>160</v>
      </c>
      <c r="C77" s="1" t="s">
        <v>161</v>
      </c>
      <c r="D77" s="3">
        <f t="array" ref="D77">IFERROR(INDEX(ie_records!D:D,MATCH(C77,ie_records!C:C,0)),"NA")</f>
        <v>63840</v>
      </c>
      <c r="E77" s="3" t="str">
        <f t="array" ref="E77">IFERROR(INDEX(enumeration_kad_bau_ada_gombe_y!D:D,MATCH(C77,enumeration_kad_bau_ada_gombe_y!B:B,0)),"NA")</f>
        <v>NA</v>
      </c>
      <c r="F77" s="3">
        <f t="array" ref="F77">IFERROR(INDEX(world_pop!G:G,MATCH(C77,world_pop!F:F,0)),"NA")</f>
        <v>36295</v>
      </c>
      <c r="G77" s="3">
        <f t="array" ref="G77">IFERROR(INDEX(mda_last_round!C:C,MATCH(C77,mda_last_round!E:E,0)),"NA")</f>
        <v>21901</v>
      </c>
      <c r="H77" s="3">
        <f t="array" ref="H77">IFERROR(INDEX(immuization!E:E,MATCH(C77,immuization!C:C,0)),"NA")</f>
        <v>59712</v>
      </c>
    </row>
    <row r="78">
      <c r="A78" s="1" t="s">
        <v>113</v>
      </c>
      <c r="B78" s="1" t="s">
        <v>162</v>
      </c>
      <c r="C78" s="1" t="s">
        <v>163</v>
      </c>
      <c r="D78" s="3">
        <f t="array" ref="D78">IFERROR(INDEX(ie_records!D:D,MATCH(C78,ie_records!C:C,0)),"NA")</f>
        <v>46955</v>
      </c>
      <c r="E78" s="3" t="str">
        <f t="array" ref="E78">IFERROR(INDEX(enumeration_kad_bau_ada_gombe_y!D:D,MATCH(C78,enumeration_kad_bau_ada_gombe_y!B:B,0)),"NA")</f>
        <v>NA</v>
      </c>
      <c r="F78" s="3">
        <f t="array" ref="F78">IFERROR(INDEX(world_pop!G:G,MATCH(C78,world_pop!F:F,0)),"NA")</f>
        <v>59126</v>
      </c>
      <c r="G78" s="3">
        <f t="array" ref="G78">IFERROR(INDEX(mda_last_round!C:C,MATCH(C78,mda_last_round!E:E,0)),"NA")</f>
        <v>38741</v>
      </c>
      <c r="H78" s="3">
        <f t="array" ref="H78">IFERROR(INDEX(immuization!E:E,MATCH(C78,immuization!C:C,0)),"NA")</f>
        <v>66725</v>
      </c>
    </row>
    <row r="79">
      <c r="A79" s="1" t="s">
        <v>113</v>
      </c>
      <c r="B79" s="1" t="s">
        <v>164</v>
      </c>
      <c r="C79" s="1" t="s">
        <v>165</v>
      </c>
      <c r="D79" s="3">
        <f t="array" ref="D79">IFERROR(INDEX(ie_records!D:D,MATCH(C79,ie_records!C:C,0)),"NA")</f>
        <v>44503</v>
      </c>
      <c r="E79" s="3" t="str">
        <f t="array" ref="E79">IFERROR(INDEX(enumeration_kad_bau_ada_gombe_y!D:D,MATCH(C79,enumeration_kad_bau_ada_gombe_y!B:B,0)),"NA")</f>
        <v>NA</v>
      </c>
      <c r="F79" s="3">
        <f t="array" ref="F79">IFERROR(INDEX(world_pop!G:G,MATCH(C79,world_pop!F:F,0)),"NA")</f>
        <v>55426</v>
      </c>
      <c r="G79" s="3">
        <f t="array" ref="G79">IFERROR(INDEX(mda_last_round!C:C,MATCH(C79,mda_last_round!E:E,0)),"NA")</f>
        <v>33051</v>
      </c>
      <c r="H79" s="3">
        <f t="array" ref="H79">IFERROR(INDEX(immuization!E:E,MATCH(C79,immuization!C:C,0)),"NA")</f>
        <v>65086</v>
      </c>
    </row>
    <row r="80">
      <c r="A80" s="1" t="s">
        <v>113</v>
      </c>
      <c r="B80" s="1" t="s">
        <v>166</v>
      </c>
      <c r="C80" s="1" t="s">
        <v>167</v>
      </c>
      <c r="D80" s="3">
        <f t="array" ref="D80">IFERROR(INDEX(ie_records!D:D,MATCH(C80,ie_records!C:C,0)),"NA")</f>
        <v>17578</v>
      </c>
      <c r="E80" s="3" t="str">
        <f t="array" ref="E80">IFERROR(INDEX(enumeration_kad_bau_ada_gombe_y!D:D,MATCH(C80,enumeration_kad_bau_ada_gombe_y!B:B,0)),"NA")</f>
        <v>NA</v>
      </c>
      <c r="F80" s="3">
        <f t="array" ref="F80">IFERROR(INDEX(world_pop!G:G,MATCH(C80,world_pop!F:F,0)),"NA")</f>
        <v>27287</v>
      </c>
      <c r="G80" s="3">
        <f t="array" ref="G80">IFERROR(INDEX(mda_last_round!C:C,MATCH(C80,mda_last_round!E:E,0)),"NA")</f>
        <v>22177</v>
      </c>
      <c r="H80" s="3">
        <f t="array" ref="H80">IFERROR(INDEX(immuization!E:E,MATCH(C80,immuization!C:C,0)),"NA")</f>
        <v>32265</v>
      </c>
    </row>
    <row r="81">
      <c r="A81" s="1" t="s">
        <v>168</v>
      </c>
      <c r="B81" s="1" t="s">
        <v>169</v>
      </c>
      <c r="C81" s="1" t="s">
        <v>170</v>
      </c>
      <c r="D81" s="3" t="str">
        <f t="array" ref="D81">IFERROR(INDEX(ie_records!D:D,MATCH(C81,ie_records!C:C,0)),"NA")</f>
        <v>NA</v>
      </c>
      <c r="E81" s="3">
        <f t="array" ref="E81">IFERROR(INDEX(enumeration_kad_bau_ada_gombe_y!D:D,MATCH(C81,enumeration_kad_bau_ada_gombe_y!B:B,0)),"NA")</f>
        <v>94236</v>
      </c>
      <c r="F81" s="3">
        <f t="array" ref="F81">IFERROR(INDEX(world_pop!G:G,MATCH(C81,world_pop!F:F,0)),"NA")</f>
        <v>58281</v>
      </c>
      <c r="G81" s="3">
        <f t="array" ref="G81">IFERROR(INDEX(mda_last_round!C:C,MATCH(C81,mda_last_round!E:E,0)),"NA")</f>
        <v>76753</v>
      </c>
      <c r="H81" s="3">
        <f t="array" ref="H81">IFERROR(INDEX(immuization!E:E,MATCH(C81,immuization!C:C,0)),"NA")</f>
        <v>140327</v>
      </c>
    </row>
    <row r="82">
      <c r="A82" s="1" t="s">
        <v>168</v>
      </c>
      <c r="B82" s="1" t="s">
        <v>171</v>
      </c>
      <c r="C82" s="1" t="s">
        <v>172</v>
      </c>
      <c r="D82" s="3" t="str">
        <f t="array" ref="D82">IFERROR(INDEX(ie_records!D:D,MATCH(C82,ie_records!C:C,0)),"NA")</f>
        <v>NA</v>
      </c>
      <c r="E82" s="3">
        <f t="array" ref="E82">IFERROR(INDEX(enumeration_kad_bau_ada_gombe_y!D:D,MATCH(C82,enumeration_kad_bau_ada_gombe_y!B:B,0)),"NA")</f>
        <v>115381</v>
      </c>
      <c r="F82" s="3">
        <f t="array" ref="F82">IFERROR(INDEX(world_pop!G:G,MATCH(C82,world_pop!F:F,0)),"NA")</f>
        <v>201240</v>
      </c>
      <c r="G82" s="3">
        <f t="array" ref="G82">IFERROR(INDEX(mda_last_round!C:C,MATCH(C82,mda_last_round!E:E,0)),"NA")</f>
        <v>157008</v>
      </c>
      <c r="H82" s="3">
        <f t="array" ref="H82">IFERROR(INDEX(immuization!E:E,MATCH(C82,immuization!C:C,0)),"NA")</f>
        <v>157050</v>
      </c>
    </row>
    <row r="83">
      <c r="A83" s="1" t="s">
        <v>168</v>
      </c>
      <c r="B83" s="1" t="s">
        <v>173</v>
      </c>
      <c r="C83" s="1" t="s">
        <v>174</v>
      </c>
      <c r="D83" s="3" t="str">
        <f t="array" ref="D83">IFERROR(INDEX(ie_records!D:D,MATCH(C83,ie_records!C:C,0)),"NA")</f>
        <v>NA</v>
      </c>
      <c r="E83" s="3">
        <f t="array" ref="E83">IFERROR(INDEX(enumeration_kad_bau_ada_gombe_y!D:D,MATCH(C83,enumeration_kad_bau_ada_gombe_y!B:B,0)),"NA")</f>
        <v>226851</v>
      </c>
      <c r="F83" s="3">
        <f t="array" ref="F83">IFERROR(INDEX(world_pop!G:G,MATCH(C83,world_pop!F:F,0)),"NA")</f>
        <v>80930</v>
      </c>
      <c r="G83" s="3">
        <f t="array" ref="G83">IFERROR(INDEX(mda_last_round!C:C,MATCH(C83,mda_last_round!E:E,0)),"NA")</f>
        <v>123038</v>
      </c>
      <c r="H83" s="3">
        <f t="array" ref="H83">IFERROR(INDEX(immuization!E:E,MATCH(C83,immuization!C:C,0)),"NA")</f>
        <v>145543</v>
      </c>
    </row>
    <row r="84">
      <c r="A84" s="1" t="s">
        <v>168</v>
      </c>
      <c r="B84" s="1" t="s">
        <v>175</v>
      </c>
      <c r="C84" s="1" t="s">
        <v>176</v>
      </c>
      <c r="D84" s="3" t="str">
        <f t="array" ref="D84">IFERROR(INDEX(ie_records!D:D,MATCH(C84,ie_records!C:C,0)),"NA")</f>
        <v>NA</v>
      </c>
      <c r="E84" s="3">
        <f t="array" ref="E84">IFERROR(INDEX(enumeration_kad_bau_ada_gombe_y!D:D,MATCH(C84,enumeration_kad_bau_ada_gombe_y!B:B,0)),"NA")</f>
        <v>225629</v>
      </c>
      <c r="F84" s="3">
        <f t="array" ref="F84">IFERROR(INDEX(world_pop!G:G,MATCH(C84,world_pop!F:F,0)),"NA")</f>
        <v>221438</v>
      </c>
      <c r="G84" s="3">
        <f t="array" ref="G84">IFERROR(INDEX(mda_last_round!C:C,MATCH(C84,mda_last_round!E:E,0)),"NA")</f>
        <v>176406</v>
      </c>
      <c r="H84" s="3">
        <f t="array" ref="H84">IFERROR(INDEX(immuization!E:E,MATCH(C84,immuization!C:C,0)),"NA")</f>
        <v>320342</v>
      </c>
    </row>
    <row r="85">
      <c r="A85" s="1" t="s">
        <v>168</v>
      </c>
      <c r="B85" s="1" t="s">
        <v>177</v>
      </c>
      <c r="C85" s="1" t="s">
        <v>178</v>
      </c>
      <c r="D85" s="3" t="str">
        <f t="array" ref="D85">IFERROR(INDEX(ie_records!D:D,MATCH(C85,ie_records!C:C,0)),"NA")</f>
        <v>NA</v>
      </c>
      <c r="E85" s="3">
        <f t="array" ref="E85">IFERROR(INDEX(enumeration_kad_bau_ada_gombe_y!D:D,MATCH(C85,enumeration_kad_bau_ada_gombe_y!B:B,0)),"NA")</f>
        <v>108292</v>
      </c>
      <c r="F85" s="3">
        <f t="array" ref="F85">IFERROR(INDEX(world_pop!G:G,MATCH(C85,world_pop!F:F,0)),"NA")</f>
        <v>61802</v>
      </c>
      <c r="G85" s="3">
        <f t="array" ref="G85">IFERROR(INDEX(mda_last_round!C:C,MATCH(C85,mda_last_round!E:E,0)),"NA")</f>
        <v>94525</v>
      </c>
      <c r="H85" s="3">
        <f t="array" ref="H85">IFERROR(INDEX(immuization!E:E,MATCH(C85,immuization!C:C,0)),"NA")</f>
        <v>135435</v>
      </c>
    </row>
    <row r="86">
      <c r="A86" s="1" t="s">
        <v>168</v>
      </c>
      <c r="B86" s="1" t="s">
        <v>179</v>
      </c>
      <c r="C86" s="1" t="s">
        <v>180</v>
      </c>
      <c r="D86" s="3" t="str">
        <f t="array" ref="D86">IFERROR(INDEX(ie_records!D:D,MATCH(C86,ie_records!C:C,0)),"NA")</f>
        <v>NA</v>
      </c>
      <c r="E86" s="3">
        <f t="array" ref="E86">IFERROR(INDEX(enumeration_kad_bau_ada_gombe_y!D:D,MATCH(C86,enumeration_kad_bau_ada_gombe_y!B:B,0)),"NA")</f>
        <v>69109</v>
      </c>
      <c r="F86" s="3">
        <f t="array" ref="F86">IFERROR(INDEX(world_pop!G:G,MATCH(C86,world_pop!F:F,0)),"NA")</f>
        <v>33252</v>
      </c>
      <c r="G86" s="3">
        <f t="array" ref="G86">IFERROR(INDEX(mda_last_round!C:C,MATCH(C86,mda_last_round!E:E,0)),"NA")</f>
        <v>74644</v>
      </c>
      <c r="H86" s="3">
        <f t="array" ref="H86">IFERROR(INDEX(immuization!E:E,MATCH(C86,immuization!C:C,0)),"NA")</f>
        <v>25807</v>
      </c>
    </row>
    <row r="87">
      <c r="A87" s="1" t="s">
        <v>168</v>
      </c>
      <c r="B87" s="1" t="s">
        <v>181</v>
      </c>
      <c r="C87" s="4" t="s">
        <v>182</v>
      </c>
      <c r="D87" s="3" t="str">
        <f t="array" ref="D87">IFERROR(INDEX(ie_records!D:D,MATCH(C87,ie_records!C:C,0)),"NA")</f>
        <v>NA</v>
      </c>
      <c r="E87" s="3">
        <f t="array" ref="E87">IFERROR(INDEX(enumeration_kad_bau_ada_gombe_y!D:D,MATCH(C87,enumeration_kad_bau_ada_gombe_y!B:B,0)),"NA")</f>
        <v>62835</v>
      </c>
      <c r="F87" s="3">
        <f t="array" ref="F87">IFERROR(INDEX(world_pop!G:G,MATCH(C87,world_pop!F:F,0)),"NA")</f>
        <v>79639</v>
      </c>
      <c r="G87" s="3">
        <f t="array" ref="G87">IFERROR(INDEX(mda_last_round!C:C,MATCH(C87,mda_last_round!E:E,0)),"NA")</f>
        <v>103776</v>
      </c>
      <c r="H87" s="3">
        <f t="array" ref="H87">IFERROR(INDEX(immuization!E:E,MATCH(C87,immuization!C:C,0)),"NA")</f>
        <v>56525</v>
      </c>
    </row>
    <row r="88">
      <c r="A88" s="1" t="s">
        <v>168</v>
      </c>
      <c r="B88" s="1" t="s">
        <v>183</v>
      </c>
      <c r="C88" s="1" t="s">
        <v>184</v>
      </c>
      <c r="D88" s="3" t="str">
        <f t="array" ref="D88">IFERROR(INDEX(ie_records!D:D,MATCH(C88,ie_records!C:C,0)),"NA")</f>
        <v>NA</v>
      </c>
      <c r="E88" s="3">
        <f t="array" ref="E88">IFERROR(INDEX(enumeration_kad_bau_ada_gombe_y!D:D,MATCH(C88,enumeration_kad_bau_ada_gombe_y!B:B,0)),"NA")</f>
        <v>104687</v>
      </c>
      <c r="F88" s="3">
        <f t="array" ref="F88">IFERROR(INDEX(world_pop!G:G,MATCH(C88,world_pop!F:F,0)),"NA")</f>
        <v>64081</v>
      </c>
      <c r="G88" s="3">
        <f t="array" ref="G88">IFERROR(INDEX(mda_last_round!C:C,MATCH(C88,mda_last_round!E:E,0)),"NA")</f>
        <v>100797</v>
      </c>
      <c r="H88" s="3">
        <f t="array" ref="H88">IFERROR(INDEX(immuization!E:E,MATCH(C88,immuization!C:C,0)),"NA")</f>
        <v>75335</v>
      </c>
    </row>
    <row r="89">
      <c r="A89" s="1" t="s">
        <v>168</v>
      </c>
      <c r="B89" s="1" t="s">
        <v>185</v>
      </c>
      <c r="C89" s="1" t="s">
        <v>186</v>
      </c>
      <c r="D89" s="3" t="str">
        <f t="array" ref="D89">IFERROR(INDEX(ie_records!D:D,MATCH(C89,ie_records!C:C,0)),"NA")</f>
        <v>NA</v>
      </c>
      <c r="E89" s="3">
        <f t="array" ref="E89">IFERROR(INDEX(enumeration_kad_bau_ada_gombe_y!D:D,MATCH(C89,enumeration_kad_bau_ada_gombe_y!B:B,0)),"NA")</f>
        <v>68091</v>
      </c>
      <c r="F89" s="3">
        <f t="array" ref="F89">IFERROR(INDEX(world_pop!G:G,MATCH(C89,world_pop!F:F,0)),"NA")</f>
        <v>104062</v>
      </c>
      <c r="G89" s="3">
        <f t="array" ref="G89">IFERROR(INDEX(mda_last_round!C:C,MATCH(C89,mda_last_round!E:E,0)),"NA")</f>
        <v>143623</v>
      </c>
      <c r="H89" s="3">
        <f t="array" ref="H89">IFERROR(INDEX(immuization!E:E,MATCH(C89,immuization!C:C,0)),"NA")</f>
        <v>87934</v>
      </c>
    </row>
    <row r="90">
      <c r="A90" s="1" t="s">
        <v>168</v>
      </c>
      <c r="B90" s="1" t="s">
        <v>187</v>
      </c>
      <c r="C90" s="1" t="s">
        <v>188</v>
      </c>
      <c r="D90" s="3" t="str">
        <f t="array" ref="D90">IFERROR(INDEX(ie_records!D:D,MATCH(C90,ie_records!C:C,0)),"NA")</f>
        <v>NA</v>
      </c>
      <c r="E90" s="3">
        <f t="array" ref="E90">IFERROR(INDEX(enumeration_kad_bau_ada_gombe_y!D:D,MATCH(C90,enumeration_kad_bau_ada_gombe_y!B:B,0)),"NA")</f>
        <v>103834</v>
      </c>
      <c r="F90" s="3">
        <f t="array" ref="F90">IFERROR(INDEX(world_pop!G:G,MATCH(C90,world_pop!F:F,0)),"NA")</f>
        <v>89988</v>
      </c>
      <c r="G90" s="3">
        <f t="array" ref="G90">IFERROR(INDEX(mda_last_round!C:C,MATCH(C90,mda_last_round!E:E,0)),"NA")</f>
        <v>125688</v>
      </c>
      <c r="H90" s="3">
        <f t="array" ref="H90">IFERROR(INDEX(immuization!E:E,MATCH(C90,immuization!C:C,0)),"NA")</f>
        <v>89658</v>
      </c>
    </row>
    <row r="91">
      <c r="A91" s="1" t="s">
        <v>168</v>
      </c>
      <c r="B91" s="1" t="s">
        <v>189</v>
      </c>
      <c r="C91" s="1" t="s">
        <v>190</v>
      </c>
      <c r="D91" s="3" t="str">
        <f t="array" ref="D91">IFERROR(INDEX(ie_records!D:D,MATCH(C91,ie_records!C:C,0)),"NA")</f>
        <v>NA</v>
      </c>
      <c r="E91" s="3">
        <f t="array" ref="E91">IFERROR(INDEX(enumeration_kad_bau_ada_gombe_y!D:D,MATCH(C91,enumeration_kad_bau_ada_gombe_y!B:B,0)),"NA")</f>
        <v>89890</v>
      </c>
      <c r="F91" s="3">
        <f t="array" ref="F91">IFERROR(INDEX(world_pop!G:G,MATCH(C91,world_pop!F:F,0)),"NA")</f>
        <v>60857</v>
      </c>
      <c r="G91" s="3">
        <f t="array" ref="G91">IFERROR(INDEX(mda_last_round!C:C,MATCH(C91,mda_last_round!E:E,0)),"NA")</f>
        <v>81613</v>
      </c>
      <c r="H91" s="3">
        <f t="array" ref="H91">IFERROR(INDEX(immuization!E:E,MATCH(C91,immuization!C:C,0)),"NA")</f>
        <v>64711</v>
      </c>
    </row>
    <row r="92">
      <c r="A92" s="1" t="s">
        <v>168</v>
      </c>
      <c r="B92" s="1" t="s">
        <v>191</v>
      </c>
      <c r="C92" s="1" t="s">
        <v>192</v>
      </c>
      <c r="D92" s="3" t="str">
        <f t="array" ref="D92">IFERROR(INDEX(ie_records!D:D,MATCH(C92,ie_records!C:C,0)),"NA")</f>
        <v>NA</v>
      </c>
      <c r="E92" s="3">
        <f t="array" ref="E92">IFERROR(INDEX(enumeration_kad_bau_ada_gombe_y!D:D,MATCH(C92,enumeration_kad_bau_ada_gombe_y!B:B,0)),"NA")</f>
        <v>39901</v>
      </c>
      <c r="F92" s="3">
        <f t="array" ref="F92">IFERROR(INDEX(world_pop!G:G,MATCH(C92,world_pop!F:F,0)),"NA")</f>
        <v>27164</v>
      </c>
      <c r="G92" s="3">
        <f t="array" ref="G92">IFERROR(INDEX(mda_last_round!C:C,MATCH(C92,mda_last_round!E:E,0)),"NA")</f>
        <v>44886</v>
      </c>
      <c r="H92" s="3">
        <f t="array" ref="H92">IFERROR(INDEX(immuization!E:E,MATCH(C92,immuization!C:C,0)),"NA")</f>
        <v>56201</v>
      </c>
    </row>
    <row r="93">
      <c r="A93" s="1" t="s">
        <v>168</v>
      </c>
      <c r="B93" s="1" t="s">
        <v>193</v>
      </c>
      <c r="C93" s="1" t="s">
        <v>194</v>
      </c>
      <c r="D93" s="3" t="str">
        <f t="array" ref="D93">IFERROR(INDEX(ie_records!D:D,MATCH(C93,ie_records!C:C,0)),"NA")</f>
        <v>NA</v>
      </c>
      <c r="E93" s="3">
        <f t="array" ref="E93">IFERROR(INDEX(enumeration_kad_bau_ada_gombe_y!D:D,MATCH(C93,enumeration_kad_bau_ada_gombe_y!B:B,0)),"NA")</f>
        <v>77249</v>
      </c>
      <c r="F93" s="3">
        <f t="array" ref="F93">IFERROR(INDEX(world_pop!G:G,MATCH(C93,world_pop!F:F,0)),"NA")</f>
        <v>46588</v>
      </c>
      <c r="G93" s="3">
        <f t="array" ref="G93">IFERROR(INDEX(mda_last_round!C:C,MATCH(C93,mda_last_round!E:E,0)),"NA")</f>
        <v>78465</v>
      </c>
      <c r="H93" s="3">
        <f t="array" ref="H93">IFERROR(INDEX(immuization!E:E,MATCH(C93,immuization!C:C,0)),"NA")</f>
        <v>38230</v>
      </c>
    </row>
    <row r="94">
      <c r="A94" s="1" t="s">
        <v>168</v>
      </c>
      <c r="B94" s="1" t="s">
        <v>195</v>
      </c>
      <c r="C94" s="1" t="s">
        <v>196</v>
      </c>
      <c r="D94" s="3" t="str">
        <f t="array" ref="D94">IFERROR(INDEX(ie_records!D:D,MATCH(C94,ie_records!C:C,0)),"NA")</f>
        <v>NA</v>
      </c>
      <c r="E94" s="3">
        <f t="array" ref="E94">IFERROR(INDEX(enumeration_kad_bau_ada_gombe_y!D:D,MATCH(C94,enumeration_kad_bau_ada_gombe_y!B:B,0)),"NA")</f>
        <v>120502</v>
      </c>
      <c r="F94" s="3">
        <f t="array" ref="F94">IFERROR(INDEX(world_pop!G:G,MATCH(C94,world_pop!F:F,0)),"NA")</f>
        <v>57727</v>
      </c>
      <c r="G94" s="3">
        <f t="array" ref="G94">IFERROR(INDEX(mda_last_round!C:C,MATCH(C94,mda_last_round!E:E,0)),"NA")</f>
        <v>83303</v>
      </c>
      <c r="H94" s="3">
        <f t="array" ref="H94">IFERROR(INDEX(immuization!E:E,MATCH(C94,immuization!C:C,0)),"NA")</f>
        <v>97679</v>
      </c>
    </row>
    <row r="95">
      <c r="A95" s="1" t="s">
        <v>168</v>
      </c>
      <c r="B95" s="1" t="s">
        <v>197</v>
      </c>
      <c r="C95" s="1" t="s">
        <v>198</v>
      </c>
      <c r="D95" s="3" t="str">
        <f t="array" ref="D95">IFERROR(INDEX(ie_records!D:D,MATCH(C95,ie_records!C:C,0)),"NA")</f>
        <v>NA</v>
      </c>
      <c r="E95" s="3">
        <f t="array" ref="E95">IFERROR(INDEX(enumeration_kad_bau_ada_gombe_y!D:D,MATCH(C95,enumeration_kad_bau_ada_gombe_y!B:B,0)),"NA")</f>
        <v>211908</v>
      </c>
      <c r="F95" s="3">
        <f t="array" ref="F95">IFERROR(INDEX(world_pop!G:G,MATCH(C95,world_pop!F:F,0)),"NA")</f>
        <v>89894</v>
      </c>
      <c r="G95" s="3">
        <f t="array" ref="G95">IFERROR(INDEX(mda_last_round!C:C,MATCH(C95,mda_last_round!E:E,0)),"NA")</f>
        <v>172769</v>
      </c>
      <c r="H95" s="3">
        <f t="array" ref="H95">IFERROR(INDEX(immuization!E:E,MATCH(C95,immuization!C:C,0)),"NA")</f>
        <v>207932</v>
      </c>
    </row>
    <row r="96">
      <c r="A96" s="1" t="s">
        <v>168</v>
      </c>
      <c r="B96" s="1" t="s">
        <v>199</v>
      </c>
      <c r="C96" s="1" t="s">
        <v>200</v>
      </c>
      <c r="D96" s="3" t="str">
        <f t="array" ref="D96">IFERROR(INDEX(ie_records!D:D,MATCH(C96,ie_records!C:C,0)),"NA")</f>
        <v>NA</v>
      </c>
      <c r="E96" s="3">
        <f t="array" ref="E96">IFERROR(INDEX(enumeration_kad_bau_ada_gombe_y!D:D,MATCH(C96,enumeration_kad_bau_ada_gombe_y!B:B,0)),"NA")</f>
        <v>72825</v>
      </c>
      <c r="F96" s="3">
        <f t="array" ref="F96">IFERROR(INDEX(world_pop!G:G,MATCH(C96,world_pop!F:F,0)),"NA")</f>
        <v>41514</v>
      </c>
      <c r="G96" s="3">
        <f t="array" ref="G96">IFERROR(INDEX(mda_last_round!C:C,MATCH(C96,mda_last_round!E:E,0)),"NA")</f>
        <v>72948</v>
      </c>
      <c r="H96" s="3">
        <f t="array" ref="H96">IFERROR(INDEX(immuization!E:E,MATCH(C96,immuization!C:C,0)),"NA")</f>
        <v>59356</v>
      </c>
    </row>
    <row r="97">
      <c r="A97" s="1" t="s">
        <v>168</v>
      </c>
      <c r="B97" s="1" t="s">
        <v>201</v>
      </c>
      <c r="C97" s="1" t="s">
        <v>202</v>
      </c>
      <c r="D97" s="3" t="str">
        <f t="array" ref="D97">IFERROR(INDEX(ie_records!D:D,MATCH(C97,ie_records!C:C,0)),"NA")</f>
        <v>NA</v>
      </c>
      <c r="E97" s="3">
        <f t="array" ref="E97">IFERROR(INDEX(enumeration_kad_bau_ada_gombe_y!D:D,MATCH(C97,enumeration_kad_bau_ada_gombe_y!B:B,0)),"NA")</f>
        <v>191650</v>
      </c>
      <c r="F97" s="3">
        <f t="array" ref="F97">IFERROR(INDEX(world_pop!G:G,MATCH(C97,world_pop!F:F,0)),"NA")</f>
        <v>89569</v>
      </c>
      <c r="G97" s="3">
        <f t="array" ref="G97">IFERROR(INDEX(mda_last_round!C:C,MATCH(C97,mda_last_round!E:E,0)),"NA")</f>
        <v>151431</v>
      </c>
      <c r="H97" s="3">
        <f t="array" ref="H97">IFERROR(INDEX(immuization!E:E,MATCH(C97,immuization!C:C,0)),"NA")</f>
        <v>190119</v>
      </c>
    </row>
    <row r="98">
      <c r="A98" s="1" t="s">
        <v>168</v>
      </c>
      <c r="B98" s="1" t="s">
        <v>203</v>
      </c>
      <c r="C98" s="1" t="s">
        <v>204</v>
      </c>
      <c r="D98" s="3" t="str">
        <f t="array" ref="D98">IFERROR(INDEX(ie_records!D:D,MATCH(C98,ie_records!C:C,0)),"NA")</f>
        <v>NA</v>
      </c>
      <c r="E98" s="3">
        <f t="array" ref="E98">IFERROR(INDEX(enumeration_kad_bau_ada_gombe_y!D:D,MATCH(C98,enumeration_kad_bau_ada_gombe_y!B:B,0)),"NA")</f>
        <v>86096</v>
      </c>
      <c r="F98" s="3">
        <f t="array" ref="F98">IFERROR(INDEX(world_pop!G:G,MATCH(C98,world_pop!F:F,0)),"NA")</f>
        <v>49412</v>
      </c>
      <c r="G98" s="3">
        <f t="array" ref="G98">IFERROR(INDEX(mda_last_round!C:C,MATCH(C98,mda_last_round!E:E,0)),"NA")</f>
        <v>77781</v>
      </c>
      <c r="H98" s="3">
        <f t="array" ref="H98">IFERROR(INDEX(immuization!E:E,MATCH(C98,immuization!C:C,0)),"NA")</f>
        <v>115623</v>
      </c>
    </row>
    <row r="99">
      <c r="A99" s="1" t="s">
        <v>168</v>
      </c>
      <c r="B99" s="1" t="s">
        <v>205</v>
      </c>
      <c r="C99" s="1" t="s">
        <v>206</v>
      </c>
      <c r="D99" s="3" t="str">
        <f t="array" ref="D99">IFERROR(INDEX(ie_records!D:D,MATCH(C99,ie_records!C:C,0)),"NA")</f>
        <v>NA</v>
      </c>
      <c r="E99" s="3">
        <f t="array" ref="E99">IFERROR(INDEX(enumeration_kad_bau_ada_gombe_y!D:D,MATCH(C99,enumeration_kad_bau_ada_gombe_y!B:B,0)),"NA")</f>
        <v>123869</v>
      </c>
      <c r="F99" s="3">
        <f t="array" ref="F99">IFERROR(INDEX(world_pop!G:G,MATCH(C99,world_pop!F:F,0)),"NA")</f>
        <v>85473</v>
      </c>
      <c r="G99" s="3">
        <f t="array" ref="G99">IFERROR(INDEX(mda_last_round!C:C,MATCH(C99,mda_last_round!E:E,0)),"NA")</f>
        <v>120502</v>
      </c>
      <c r="H99" s="3">
        <f t="array" ref="H99">IFERROR(INDEX(immuization!E:E,MATCH(C99,immuization!C:C,0)),"NA")</f>
        <v>103622</v>
      </c>
    </row>
    <row r="100">
      <c r="A100" s="1" t="s">
        <v>168</v>
      </c>
      <c r="B100" s="1" t="s">
        <v>207</v>
      </c>
      <c r="C100" s="1" t="s">
        <v>208</v>
      </c>
      <c r="D100" s="3" t="str">
        <f t="array" ref="D100">IFERROR(INDEX(ie_records!D:D,MATCH(C100,ie_records!C:C,0)),"NA")</f>
        <v>NA</v>
      </c>
      <c r="E100" s="3">
        <f t="array" ref="E100">IFERROR(INDEX(enumeration_kad_bau_ada_gombe_y!D:D,MATCH(C100,enumeration_kad_bau_ada_gombe_y!B:B,0)),"NA")</f>
        <v>54442</v>
      </c>
      <c r="F100" s="3">
        <f t="array" ref="F100">IFERROR(INDEX(world_pop!G:G,MATCH(C100,world_pop!F:F,0)),"NA")</f>
        <v>41966</v>
      </c>
      <c r="G100" s="3">
        <f t="array" ref="G100">IFERROR(INDEX(mda_last_round!C:C,MATCH(C100,mda_last_round!E:E,0)),"NA")</f>
        <v>53870</v>
      </c>
      <c r="H100" s="3">
        <f t="array" ref="H100">IFERROR(INDEX(immuization!E:E,MATCH(C100,immuization!C:C,0)),"NA")</f>
        <v>43641</v>
      </c>
    </row>
    <row r="101">
      <c r="A101" s="1" t="s">
        <v>168</v>
      </c>
      <c r="B101" s="1" t="s">
        <v>209</v>
      </c>
      <c r="C101" s="1" t="s">
        <v>210</v>
      </c>
      <c r="D101" s="3" t="str">
        <f t="array" ref="D101">IFERROR(INDEX(ie_records!D:D,MATCH(C101,ie_records!C:C,0)),"NA")</f>
        <v>NA</v>
      </c>
      <c r="E101" s="3">
        <f t="array" ref="E101">IFERROR(INDEX(enumeration_kad_bau_ada_gombe_y!D:D,MATCH(C101,enumeration_kad_bau_ada_gombe_y!B:B,0)),"NA")</f>
        <v>215370</v>
      </c>
      <c r="F101" s="3">
        <f t="array" ref="F101">IFERROR(INDEX(world_pop!G:G,MATCH(C101,world_pop!F:F,0)),"NA")</f>
        <v>87121</v>
      </c>
      <c r="G101" s="3">
        <f t="array" ref="G101">IFERROR(INDEX(mda_last_round!C:C,MATCH(C101,mda_last_round!E:E,0)),"NA")</f>
        <v>195808</v>
      </c>
      <c r="H101" s="3">
        <f t="array" ref="H101">IFERROR(INDEX(immuization!E:E,MATCH(C101,immuization!C:C,0)),"NA")</f>
        <v>217449</v>
      </c>
    </row>
    <row r="102">
      <c r="A102" s="1" t="s">
        <v>168</v>
      </c>
      <c r="B102" s="1" t="s">
        <v>211</v>
      </c>
      <c r="C102" s="1" t="s">
        <v>212</v>
      </c>
      <c r="D102" s="3" t="str">
        <f t="array" ref="D102">IFERROR(INDEX(ie_records!D:D,MATCH(C102,ie_records!C:C,0)),"NA")</f>
        <v>NA</v>
      </c>
      <c r="E102" s="3">
        <f t="array" ref="E102">IFERROR(INDEX(enumeration_kad_bau_ada_gombe_y!D:D,MATCH(C102,enumeration_kad_bau_ada_gombe_y!B:B,0)),"NA")</f>
        <v>116995</v>
      </c>
      <c r="F102" s="3">
        <f t="array" ref="F102">IFERROR(INDEX(world_pop!G:G,MATCH(C102,world_pop!F:F,0)),"NA")</f>
        <v>85919</v>
      </c>
      <c r="G102" s="3">
        <f t="array" ref="G102">IFERROR(INDEX(mda_last_round!C:C,MATCH(C102,mda_last_round!E:E,0)),"NA")</f>
        <v>118746</v>
      </c>
      <c r="H102" s="3">
        <f t="array" ref="H102">IFERROR(INDEX(immuization!E:E,MATCH(C102,immuization!C:C,0)),"NA")</f>
        <v>66028</v>
      </c>
    </row>
    <row r="103">
      <c r="A103" s="1" t="s">
        <v>168</v>
      </c>
      <c r="B103" s="1" t="s">
        <v>213</v>
      </c>
      <c r="C103" s="1" t="s">
        <v>214</v>
      </c>
      <c r="D103" s="3" t="str">
        <f t="array" ref="D103">IFERROR(INDEX(ie_records!D:D,MATCH(C103,ie_records!C:C,0)),"NA")</f>
        <v>NA</v>
      </c>
      <c r="E103" s="3">
        <f t="array" ref="E103">IFERROR(INDEX(enumeration_kad_bau_ada_gombe_y!D:D,MATCH(C103,enumeration_kad_bau_ada_gombe_y!B:B,0)),"NA")</f>
        <v>292558</v>
      </c>
      <c r="F103" s="3">
        <f t="array" ref="F103">IFERROR(INDEX(world_pop!G:G,MATCH(C103,world_pop!F:F,0)),"NA")</f>
        <v>133872</v>
      </c>
      <c r="G103" s="3">
        <f t="array" ref="G103">IFERROR(INDEX(mda_last_round!C:C,MATCH(C103,mda_last_round!E:E,0)),"NA")</f>
        <v>265871</v>
      </c>
      <c r="H103" s="3">
        <f t="array" ref="H103">IFERROR(INDEX(immuization!E:E,MATCH(C103,immuization!C:C,0)),"NA")</f>
        <v>278034</v>
      </c>
    </row>
    <row r="104">
      <c r="A104" s="1" t="s">
        <v>215</v>
      </c>
      <c r="B104" s="1" t="s">
        <v>216</v>
      </c>
      <c r="C104" s="1" t="s">
        <v>217</v>
      </c>
      <c r="D104" s="3" t="str">
        <f t="array" ref="D104">IFERROR(INDEX(ie_records!D:D,MATCH(C104,ie_records!C:C,0)),"NA")</f>
        <v>NA</v>
      </c>
      <c r="E104" s="2" t="s">
        <v>218</v>
      </c>
      <c r="F104" s="3">
        <f t="array" ref="F104">IFERROR(INDEX(world_pop!G:G,MATCH(C104,world_pop!F:F,0)),"NA")</f>
        <v>56143</v>
      </c>
      <c r="G104" s="3">
        <f t="array" ref="G104">IFERROR(INDEX(mda_last_round!C:C,MATCH(C104,mda_last_round!E:E,0)),"NA")</f>
        <v>68258</v>
      </c>
      <c r="H104" s="3">
        <f t="array" ref="H104">IFERROR(INDEX(immuization!E:E,MATCH(C104,immuization!C:C,0)),"NA")</f>
        <v>50005</v>
      </c>
    </row>
    <row r="105">
      <c r="A105" s="1" t="s">
        <v>215</v>
      </c>
      <c r="B105" s="1" t="s">
        <v>219</v>
      </c>
      <c r="C105" s="1" t="s">
        <v>220</v>
      </c>
      <c r="D105" s="3" t="str">
        <f t="array" ref="D105">IFERROR(INDEX(ie_records!D:D,MATCH(C105,ie_records!C:C,0)),"NA")</f>
        <v>NA</v>
      </c>
      <c r="E105" s="2" t="s">
        <v>218</v>
      </c>
      <c r="F105" s="3">
        <f t="array" ref="F105">IFERROR(INDEX(world_pop!G:G,MATCH(C105,world_pop!F:F,0)),"NA")</f>
        <v>53445</v>
      </c>
      <c r="G105" s="3">
        <f t="array" ref="G105">IFERROR(INDEX(mda_last_round!C:C,MATCH(C105,mda_last_round!E:E,0)),"NA")</f>
        <v>55205</v>
      </c>
      <c r="H105" s="3">
        <f t="array" ref="H105">IFERROR(INDEX(immuization!E:E,MATCH(C105,immuization!C:C,0)),"NA")</f>
        <v>51461</v>
      </c>
    </row>
    <row r="106">
      <c r="A106" s="1" t="s">
        <v>215</v>
      </c>
      <c r="B106" s="1" t="s">
        <v>221</v>
      </c>
      <c r="C106" s="1" t="s">
        <v>222</v>
      </c>
      <c r="D106" s="3" t="str">
        <f t="array" ref="D106">IFERROR(INDEX(ie_records!D:D,MATCH(C106,ie_records!C:C,0)),"NA")</f>
        <v>NA</v>
      </c>
      <c r="E106" s="2" t="s">
        <v>218</v>
      </c>
      <c r="F106" s="3">
        <f t="array" ref="F106">IFERROR(INDEX(world_pop!G:G,MATCH(C106,world_pop!F:F,0)),"NA")</f>
        <v>54909</v>
      </c>
      <c r="G106" s="3">
        <f t="array" ref="G106">IFERROR(INDEX(mda_last_round!C:C,MATCH(C106,mda_last_round!E:E,0)),"NA")</f>
        <v>0</v>
      </c>
      <c r="H106" s="3">
        <f t="array" ref="H106">IFERROR(INDEX(immuization!E:E,MATCH(C106,immuization!C:C,0)),"NA")</f>
        <v>58608</v>
      </c>
    </row>
    <row r="107">
      <c r="A107" s="1" t="s">
        <v>215</v>
      </c>
      <c r="B107" s="1" t="s">
        <v>223</v>
      </c>
      <c r="C107" s="1" t="s">
        <v>224</v>
      </c>
      <c r="D107" s="3" t="str">
        <f t="array" ref="D107">IFERROR(INDEX(ie_records!D:D,MATCH(C107,ie_records!C:C,0)),"NA")</f>
        <v>NA</v>
      </c>
      <c r="E107" s="2" t="s">
        <v>218</v>
      </c>
      <c r="F107" s="3">
        <f t="array" ref="F107">IFERROR(INDEX(world_pop!G:G,MATCH(C107,world_pop!F:F,0)),"NA")</f>
        <v>75212</v>
      </c>
      <c r="G107" s="3">
        <f t="array" ref="G107">IFERROR(INDEX(mda_last_round!C:C,MATCH(C107,mda_last_round!E:E,0)),"NA")</f>
        <v>95124</v>
      </c>
      <c r="H107" s="3">
        <f t="array" ref="H107">IFERROR(INDEX(immuization!E:E,MATCH(C107,immuization!C:C,0)),"NA")</f>
        <v>78212</v>
      </c>
    </row>
    <row r="108">
      <c r="A108" s="1" t="s">
        <v>215</v>
      </c>
      <c r="B108" s="1" t="s">
        <v>225</v>
      </c>
      <c r="C108" s="1" t="s">
        <v>226</v>
      </c>
      <c r="D108" s="3" t="str">
        <f t="array" ref="D108">IFERROR(INDEX(ie_records!D:D,MATCH(C108,ie_records!C:C,0)),"NA")</f>
        <v>NA</v>
      </c>
      <c r="E108" s="2" t="s">
        <v>218</v>
      </c>
      <c r="F108" s="3">
        <f t="array" ref="F108">IFERROR(INDEX(world_pop!G:G,MATCH(C108,world_pop!F:F,0)),"NA")</f>
        <v>97774</v>
      </c>
      <c r="G108" s="3">
        <f t="array" ref="G108">IFERROR(INDEX(mda_last_round!C:C,MATCH(C108,mda_last_round!E:E,0)),"NA")</f>
        <v>103793</v>
      </c>
      <c r="H108" s="3">
        <f t="array" ref="H108">IFERROR(INDEX(immuization!E:E,MATCH(C108,immuization!C:C,0)),"NA")</f>
        <v>103628</v>
      </c>
    </row>
    <row r="109">
      <c r="A109" s="1" t="s">
        <v>215</v>
      </c>
      <c r="B109" s="1" t="s">
        <v>227</v>
      </c>
      <c r="C109" s="1" t="s">
        <v>228</v>
      </c>
      <c r="D109" s="3" t="str">
        <f t="array" ref="D109">IFERROR(INDEX(ie_records!D:D,MATCH(C109,ie_records!C:C,0)),"NA")</f>
        <v>NA</v>
      </c>
      <c r="E109" s="2" t="s">
        <v>218</v>
      </c>
      <c r="F109" s="3">
        <f t="array" ref="F109">IFERROR(INDEX(world_pop!G:G,MATCH(C109,world_pop!F:F,0)),"NA")</f>
        <v>51301</v>
      </c>
      <c r="G109" s="3">
        <f t="array" ref="G109">IFERROR(INDEX(mda_last_round!C:C,MATCH(C109,mda_last_round!E:E,0)),"NA")</f>
        <v>78405</v>
      </c>
      <c r="H109" s="3">
        <f t="array" ref="H109">IFERROR(INDEX(immuization!E:E,MATCH(C109,immuization!C:C,0)),"NA")</f>
        <v>63371</v>
      </c>
    </row>
    <row r="110">
      <c r="A110" s="1" t="s">
        <v>215</v>
      </c>
      <c r="B110" s="1" t="s">
        <v>229</v>
      </c>
      <c r="C110" s="1" t="s">
        <v>230</v>
      </c>
      <c r="D110" s="3" t="str">
        <f t="array" ref="D110">IFERROR(INDEX(ie_records!D:D,MATCH(C110,ie_records!C:C,0)),"NA")</f>
        <v>NA</v>
      </c>
      <c r="E110" s="2" t="s">
        <v>218</v>
      </c>
      <c r="F110" s="3">
        <f t="array" ref="F110">IFERROR(INDEX(world_pop!G:G,MATCH(C110,world_pop!F:F,0)),"NA")</f>
        <v>80216</v>
      </c>
      <c r="G110" s="3">
        <f t="array" ref="G110">IFERROR(INDEX(mda_last_round!C:C,MATCH(C110,mda_last_round!E:E,0)),"NA")</f>
        <v>111612</v>
      </c>
      <c r="H110" s="3">
        <f t="array" ref="H110">IFERROR(INDEX(immuization!E:E,MATCH(C110,immuization!C:C,0)),"NA")</f>
        <v>110281</v>
      </c>
    </row>
    <row r="111">
      <c r="A111" s="1" t="s">
        <v>215</v>
      </c>
      <c r="B111" s="1" t="s">
        <v>231</v>
      </c>
      <c r="C111" s="1" t="s">
        <v>232</v>
      </c>
      <c r="D111" s="3" t="str">
        <f t="array" ref="D111">IFERROR(INDEX(ie_records!D:D,MATCH(C111,ie_records!C:C,0)),"NA")</f>
        <v>NA</v>
      </c>
      <c r="E111" s="2" t="s">
        <v>218</v>
      </c>
      <c r="F111" s="3">
        <f t="array" ref="F111">IFERROR(INDEX(world_pop!G:G,MATCH(C111,world_pop!F:F,0)),"NA")</f>
        <v>86599</v>
      </c>
      <c r="G111" s="3">
        <f t="array" ref="G111">IFERROR(INDEX(mda_last_round!C:C,MATCH(C111,mda_last_round!E:E,0)),"NA")</f>
        <v>0</v>
      </c>
      <c r="H111" s="3">
        <f t="array" ref="H111">IFERROR(INDEX(immuization!E:E,MATCH(C111,immuization!C:C,0)),"NA")</f>
        <v>69053</v>
      </c>
    </row>
    <row r="112">
      <c r="A112" s="1" t="s">
        <v>215</v>
      </c>
      <c r="B112" s="1" t="s">
        <v>233</v>
      </c>
      <c r="C112" s="1" t="s">
        <v>234</v>
      </c>
      <c r="D112" s="3" t="str">
        <f t="array" ref="D112">IFERROR(INDEX(ie_records!D:D,MATCH(C112,ie_records!C:C,0)),"NA")</f>
        <v>NA</v>
      </c>
      <c r="E112" s="2" t="s">
        <v>218</v>
      </c>
      <c r="F112" s="3">
        <f t="array" ref="F112">IFERROR(INDEX(world_pop!G:G,MATCH(C112,world_pop!F:F,0)),"NA")</f>
        <v>91729</v>
      </c>
      <c r="G112" s="3">
        <f t="array" ref="G112">IFERROR(INDEX(mda_last_round!C:C,MATCH(C112,mda_last_round!E:E,0)),"NA")</f>
        <v>0</v>
      </c>
      <c r="H112" s="3">
        <f t="array" ref="H112">IFERROR(INDEX(immuization!E:E,MATCH(C112,immuization!C:C,0)),"NA")</f>
        <v>96300</v>
      </c>
    </row>
    <row r="113">
      <c r="A113" s="1" t="s">
        <v>215</v>
      </c>
      <c r="B113" s="1" t="s">
        <v>235</v>
      </c>
      <c r="C113" s="1" t="s">
        <v>236</v>
      </c>
      <c r="D113" s="3" t="str">
        <f t="array" ref="D113">IFERROR(INDEX(ie_records!D:D,MATCH(C113,ie_records!C:C,0)),"NA")</f>
        <v>NA</v>
      </c>
      <c r="E113" s="2" t="s">
        <v>218</v>
      </c>
      <c r="F113" s="3">
        <f t="array" ref="F113">IFERROR(INDEX(world_pop!G:G,MATCH(C113,world_pop!F:F,0)),"NA")</f>
        <v>79976</v>
      </c>
      <c r="G113" s="3">
        <f t="array" ref="G113">IFERROR(INDEX(mda_last_round!C:C,MATCH(C113,mda_last_round!E:E,0)),"NA")</f>
        <v>90681</v>
      </c>
      <c r="H113" s="3">
        <f t="array" ref="H113">IFERROR(INDEX(immuization!E:E,MATCH(C113,immuization!C:C,0)),"NA")</f>
        <v>92206</v>
      </c>
    </row>
    <row r="114">
      <c r="A114" s="1" t="s">
        <v>215</v>
      </c>
      <c r="B114" s="1" t="s">
        <v>237</v>
      </c>
      <c r="C114" s="1" t="s">
        <v>238</v>
      </c>
      <c r="D114" s="3" t="str">
        <f t="array" ref="D114">IFERROR(INDEX(ie_records!D:D,MATCH(C114,ie_records!C:C,0)),"NA")</f>
        <v>NA</v>
      </c>
      <c r="E114" s="2" t="s">
        <v>218</v>
      </c>
      <c r="F114" s="3">
        <f t="array" ref="F114">IFERROR(INDEX(world_pop!G:G,MATCH(C114,world_pop!F:F,0)),"NA")</f>
        <v>39284</v>
      </c>
      <c r="G114" s="3" t="str">
        <f t="array" ref="G114">IFERROR(INDEX(mda_last_round!C:C,MATCH(C114,mda_last_round!E:E,0)),"NA")</f>
        <v>NA</v>
      </c>
      <c r="H114" s="3">
        <f t="array" ref="H114">IFERROR(INDEX(immuization!E:E,MATCH(C114,immuization!C:C,0)),"NA")</f>
        <v>59659</v>
      </c>
    </row>
    <row r="115">
      <c r="A115" s="1" t="s">
        <v>215</v>
      </c>
      <c r="B115" s="1" t="s">
        <v>239</v>
      </c>
      <c r="C115" s="1" t="s">
        <v>240</v>
      </c>
      <c r="D115" s="3" t="str">
        <f t="array" ref="D115">IFERROR(INDEX(ie_records!D:D,MATCH(C115,ie_records!C:C,0)),"NA")</f>
        <v>NA</v>
      </c>
      <c r="E115" s="2" t="s">
        <v>218</v>
      </c>
      <c r="F115" s="3">
        <f t="array" ref="F115">IFERROR(INDEX(world_pop!G:G,MATCH(C115,world_pop!F:F,0)),"NA")</f>
        <v>67418</v>
      </c>
      <c r="G115" s="3">
        <f t="array" ref="G115">IFERROR(INDEX(mda_last_round!C:C,MATCH(C115,mda_last_round!E:E,0)),"NA")</f>
        <v>0</v>
      </c>
      <c r="H115" s="3">
        <f t="array" ref="H115">IFERROR(INDEX(immuization!E:E,MATCH(C115,immuization!C:C,0)),"NA")</f>
        <v>84173</v>
      </c>
    </row>
    <row r="116">
      <c r="A116" s="1" t="s">
        <v>215</v>
      </c>
      <c r="B116" s="1" t="s">
        <v>241</v>
      </c>
      <c r="C116" s="1" t="s">
        <v>242</v>
      </c>
      <c r="D116" s="3" t="str">
        <f t="array" ref="D116">IFERROR(INDEX(ie_records!D:D,MATCH(C116,ie_records!C:C,0)),"NA")</f>
        <v>NA</v>
      </c>
      <c r="E116" s="2" t="s">
        <v>218</v>
      </c>
      <c r="F116" s="3">
        <f t="array" ref="F116">IFERROR(INDEX(world_pop!G:G,MATCH(C116,world_pop!F:F,0)),"NA")</f>
        <v>63251</v>
      </c>
      <c r="G116" s="3">
        <f t="array" ref="G116">IFERROR(INDEX(mda_last_round!C:C,MATCH(C116,mda_last_round!E:E,0)),"NA")</f>
        <v>67212</v>
      </c>
      <c r="H116" s="3">
        <f t="array" ref="H116">IFERROR(INDEX(immuization!E:E,MATCH(C116,immuization!C:C,0)),"NA")</f>
        <v>70187</v>
      </c>
    </row>
    <row r="117">
      <c r="A117" s="1" t="s">
        <v>215</v>
      </c>
      <c r="B117" s="1" t="s">
        <v>243</v>
      </c>
      <c r="C117" s="1" t="s">
        <v>244</v>
      </c>
      <c r="D117" s="3" t="str">
        <f t="array" ref="D117">IFERROR(INDEX(ie_records!D:D,MATCH(C117,ie_records!C:C,0)),"NA")</f>
        <v>NA</v>
      </c>
      <c r="E117" s="2" t="s">
        <v>218</v>
      </c>
      <c r="F117" s="3">
        <f t="array" ref="F117">IFERROR(INDEX(world_pop!G:G,MATCH(C117,world_pop!F:F,0)),"NA")</f>
        <v>59039</v>
      </c>
      <c r="G117" s="3">
        <f t="array" ref="G117">IFERROR(INDEX(mda_last_round!C:C,MATCH(C117,mda_last_round!E:E,0)),"NA")</f>
        <v>0</v>
      </c>
      <c r="H117" s="3">
        <f t="array" ref="H117">IFERROR(INDEX(immuization!E:E,MATCH(C117,immuization!C:C,0)),"NA")</f>
        <v>50245</v>
      </c>
    </row>
    <row r="118">
      <c r="A118" s="1" t="s">
        <v>215</v>
      </c>
      <c r="B118" s="1" t="s">
        <v>245</v>
      </c>
      <c r="C118" s="1" t="s">
        <v>246</v>
      </c>
      <c r="D118" s="3" t="str">
        <f t="array" ref="D118">IFERROR(INDEX(ie_records!D:D,MATCH(C118,ie_records!C:C,0)),"NA")</f>
        <v>NA</v>
      </c>
      <c r="E118" s="2" t="s">
        <v>218</v>
      </c>
      <c r="F118" s="3">
        <f t="array" ref="F118">IFERROR(INDEX(world_pop!G:G,MATCH(C118,world_pop!F:F,0)),"NA")</f>
        <v>39137</v>
      </c>
      <c r="G118" s="3" t="str">
        <f t="array" ref="G118">IFERROR(INDEX(mda_last_round!C:C,MATCH(C118,mda_last_round!E:E,0)),"NA")</f>
        <v>NA</v>
      </c>
      <c r="H118" s="3">
        <f t="array" ref="H118">IFERROR(INDEX(immuization!E:E,MATCH(C118,immuization!C:C,0)),"NA")</f>
        <v>42889</v>
      </c>
    </row>
    <row r="119">
      <c r="A119" s="1" t="s">
        <v>215</v>
      </c>
      <c r="B119" s="1" t="s">
        <v>247</v>
      </c>
      <c r="C119" s="1" t="s">
        <v>248</v>
      </c>
      <c r="D119" s="3" t="str">
        <f t="array" ref="D119">IFERROR(INDEX(ie_records!D:D,MATCH(C119,ie_records!C:C,0)),"NA")</f>
        <v>NA</v>
      </c>
      <c r="E119" s="2" t="s">
        <v>218</v>
      </c>
      <c r="F119" s="3">
        <f t="array" ref="F119">IFERROR(INDEX(world_pop!G:G,MATCH(C119,world_pop!F:F,0)),"NA")</f>
        <v>71179</v>
      </c>
      <c r="G119" s="3">
        <f t="array" ref="G119">IFERROR(INDEX(mda_last_round!C:C,MATCH(C119,mda_last_round!E:E,0)),"NA")</f>
        <v>58836</v>
      </c>
      <c r="H119" s="3">
        <f t="array" ref="H119">IFERROR(INDEX(immuization!E:E,MATCH(C119,immuization!C:C,0)),"NA")</f>
        <v>62546</v>
      </c>
    </row>
    <row r="120">
      <c r="A120" s="1" t="s">
        <v>215</v>
      </c>
      <c r="B120" s="1" t="s">
        <v>249</v>
      </c>
      <c r="C120" s="1" t="s">
        <v>250</v>
      </c>
      <c r="D120" s="3" t="str">
        <f t="array" ref="D120">IFERROR(INDEX(ie_records!D:D,MATCH(C120,ie_records!C:C,0)),"NA")</f>
        <v>NA</v>
      </c>
      <c r="E120" s="2" t="s">
        <v>218</v>
      </c>
      <c r="F120" s="3">
        <f t="array" ref="F120">IFERROR(INDEX(world_pop!G:G,MATCH(C120,world_pop!F:F,0)),"NA")</f>
        <v>104508</v>
      </c>
      <c r="G120" s="3">
        <f t="array" ref="G120">IFERROR(INDEX(mda_last_round!C:C,MATCH(C120,mda_last_round!E:E,0)),"NA")</f>
        <v>0</v>
      </c>
      <c r="H120" s="3">
        <f t="array" ref="H120">IFERROR(INDEX(immuization!E:E,MATCH(C120,immuization!C:C,0)),"NA")</f>
        <v>89927</v>
      </c>
    </row>
    <row r="121">
      <c r="A121" s="1" t="s">
        <v>215</v>
      </c>
      <c r="B121" s="1" t="s">
        <v>251</v>
      </c>
      <c r="C121" s="1" t="s">
        <v>252</v>
      </c>
      <c r="D121" s="3" t="str">
        <f t="array" ref="D121">IFERROR(INDEX(ie_records!D:D,MATCH(C121,ie_records!C:C,0)),"NA")</f>
        <v>NA</v>
      </c>
      <c r="E121" s="2" t="s">
        <v>218</v>
      </c>
      <c r="F121" s="3">
        <f t="array" ref="F121">IFERROR(INDEX(world_pop!G:G,MATCH(C121,world_pop!F:F,0)),"NA")</f>
        <v>107243</v>
      </c>
      <c r="G121" s="3">
        <f t="array" ref="G121">IFERROR(INDEX(mda_last_round!C:C,MATCH(C121,mda_last_round!E:E,0)),"NA")</f>
        <v>0</v>
      </c>
      <c r="H121" s="3">
        <f t="array" ref="H121">IFERROR(INDEX(immuization!E:E,MATCH(C121,immuization!C:C,0)),"NA")</f>
        <v>108754</v>
      </c>
    </row>
    <row r="122">
      <c r="A122" s="1" t="s">
        <v>215</v>
      </c>
      <c r="B122" s="1" t="s">
        <v>253</v>
      </c>
      <c r="C122" s="1" t="s">
        <v>254</v>
      </c>
      <c r="D122" s="3" t="str">
        <f t="array" ref="D122">IFERROR(INDEX(ie_records!D:D,MATCH(C122,ie_records!C:C,0)),"NA")</f>
        <v>NA</v>
      </c>
      <c r="E122" s="2" t="s">
        <v>218</v>
      </c>
      <c r="F122" s="3">
        <f t="array" ref="F122">IFERROR(INDEX(world_pop!G:G,MATCH(C122,world_pop!F:F,0)),"NA")</f>
        <v>62132</v>
      </c>
      <c r="G122" s="3">
        <f t="array" ref="G122">IFERROR(INDEX(mda_last_round!C:C,MATCH(C122,mda_last_round!E:E,0)),"NA")</f>
        <v>0</v>
      </c>
      <c r="H122" s="3">
        <f t="array" ref="H122">IFERROR(INDEX(immuization!E:E,MATCH(C122,immuization!C:C,0)),"NA")</f>
        <v>71997</v>
      </c>
    </row>
    <row r="123">
      <c r="A123" s="1" t="s">
        <v>215</v>
      </c>
      <c r="B123" s="1" t="s">
        <v>255</v>
      </c>
      <c r="C123" s="1" t="s">
        <v>256</v>
      </c>
      <c r="D123" s="3" t="str">
        <f t="array" ref="D123">IFERROR(INDEX(ie_records!D:D,MATCH(C123,ie_records!C:C,0)),"NA")</f>
        <v>NA</v>
      </c>
      <c r="E123" s="2" t="s">
        <v>218</v>
      </c>
      <c r="F123" s="3">
        <f t="array" ref="F123">IFERROR(INDEX(world_pop!G:G,MATCH(C123,world_pop!F:F,0)),"NA")</f>
        <v>47638</v>
      </c>
      <c r="G123" s="3">
        <f t="array" ref="G123">IFERROR(INDEX(mda_last_round!C:C,MATCH(C123,mda_last_round!E:E,0)),"NA")</f>
        <v>64617</v>
      </c>
      <c r="H123" s="3">
        <f t="array" ref="H123">IFERROR(INDEX(immuization!E:E,MATCH(C123,immuization!C:C,0)),"NA")</f>
        <v>42312</v>
      </c>
    </row>
    <row r="124">
      <c r="A124" s="1" t="s">
        <v>215</v>
      </c>
      <c r="B124" s="1" t="s">
        <v>257</v>
      </c>
      <c r="C124" s="1" t="s">
        <v>258</v>
      </c>
      <c r="D124" s="3" t="str">
        <f t="array" ref="D124">IFERROR(INDEX(ie_records!D:D,MATCH(C124,ie_records!C:C,0)),"NA")</f>
        <v>NA</v>
      </c>
      <c r="E124" s="2" t="s">
        <v>218</v>
      </c>
      <c r="F124" s="3">
        <f t="array" ref="F124">IFERROR(INDEX(world_pop!G:G,MATCH(C124,world_pop!F:F,0)),"NA")</f>
        <v>51638</v>
      </c>
      <c r="G124" s="3">
        <f t="array" ref="G124">IFERROR(INDEX(mda_last_round!C:C,MATCH(C124,mda_last_round!E:E,0)),"NA")</f>
        <v>96261</v>
      </c>
      <c r="H124" s="3">
        <f t="array" ref="H124">IFERROR(INDEX(immuization!E:E,MATCH(C124,immuization!C:C,0)),"NA")</f>
        <v>68002</v>
      </c>
    </row>
    <row r="125">
      <c r="A125" s="1" t="s">
        <v>215</v>
      </c>
      <c r="B125" s="1" t="s">
        <v>259</v>
      </c>
      <c r="C125" s="1" t="s">
        <v>260</v>
      </c>
      <c r="D125" s="3" t="str">
        <f t="array" ref="D125">IFERROR(INDEX(ie_records!D:D,MATCH(C125,ie_records!C:C,0)),"NA")</f>
        <v>NA</v>
      </c>
      <c r="E125" s="2" t="s">
        <v>218</v>
      </c>
      <c r="F125" s="3">
        <f t="array" ref="F125">IFERROR(INDEX(world_pop!G:G,MATCH(C125,world_pop!F:F,0)),"NA")</f>
        <v>40399</v>
      </c>
      <c r="G125" s="3">
        <f t="array" ref="G125">IFERROR(INDEX(mda_last_round!C:C,MATCH(C125,mda_last_round!E:E,0)),"NA")</f>
        <v>65479</v>
      </c>
      <c r="H125" s="3">
        <f t="array" ref="H125">IFERROR(INDEX(immuization!E:E,MATCH(C125,immuization!C:C,0)),"NA")</f>
        <v>44016</v>
      </c>
    </row>
    <row r="126">
      <c r="A126" s="1" t="s">
        <v>215</v>
      </c>
      <c r="B126" s="1" t="s">
        <v>261</v>
      </c>
      <c r="C126" s="1" t="s">
        <v>262</v>
      </c>
      <c r="D126" s="3" t="str">
        <f t="array" ref="D126">IFERROR(INDEX(ie_records!D:D,MATCH(C126,ie_records!C:C,0)),"NA")</f>
        <v>NA</v>
      </c>
      <c r="E126" s="2" t="s">
        <v>218</v>
      </c>
      <c r="F126" s="3">
        <f t="array" ref="F126">IFERROR(INDEX(world_pop!G:G,MATCH(C126,world_pop!F:F,0)),"NA")</f>
        <v>41081</v>
      </c>
      <c r="G126" s="3">
        <f t="array" ref="G126">IFERROR(INDEX(mda_last_round!C:C,MATCH(C126,mda_last_round!E:E,0)),"NA")</f>
        <v>0</v>
      </c>
      <c r="H126" s="3">
        <f t="array" ref="H126">IFERROR(INDEX(immuization!E:E,MATCH(C126,immuization!C:C,0)),"NA")</f>
        <v>51486</v>
      </c>
    </row>
    <row r="127">
      <c r="A127" s="1" t="s">
        <v>215</v>
      </c>
      <c r="B127" s="1" t="s">
        <v>263</v>
      </c>
      <c r="C127" s="1" t="s">
        <v>264</v>
      </c>
      <c r="D127" s="3" t="str">
        <f t="array" ref="D127">IFERROR(INDEX(ie_records!D:D,MATCH(C127,ie_records!C:C,0)),"NA")</f>
        <v>NA</v>
      </c>
      <c r="E127" s="2" t="s">
        <v>218</v>
      </c>
      <c r="F127" s="3">
        <f t="array" ref="F127">IFERROR(INDEX(world_pop!G:G,MATCH(C127,world_pop!F:F,0)),"NA")</f>
        <v>77747</v>
      </c>
      <c r="G127" s="3">
        <f t="array" ref="G127">IFERROR(INDEX(mda_last_round!C:C,MATCH(C127,mda_last_round!E:E,0)),"NA")</f>
        <v>79839</v>
      </c>
      <c r="H127" s="3">
        <f t="array" ref="H127">IFERROR(INDEX(immuization!E:E,MATCH(C127,immuization!C:C,0)),"NA")</f>
        <v>96239</v>
      </c>
    </row>
    <row r="128">
      <c r="A128" s="1" t="s">
        <v>215</v>
      </c>
      <c r="B128" s="1" t="s">
        <v>265</v>
      </c>
      <c r="C128" s="1" t="s">
        <v>266</v>
      </c>
      <c r="D128" s="3" t="str">
        <f t="array" ref="D128">IFERROR(INDEX(ie_records!D:D,MATCH(C128,ie_records!C:C,0)),"NA")</f>
        <v>NA</v>
      </c>
      <c r="E128" s="2" t="s">
        <v>218</v>
      </c>
      <c r="F128" s="3">
        <f t="array" ref="F128">IFERROR(INDEX(world_pop!G:G,MATCH(C128,world_pop!F:F,0)),"NA")</f>
        <v>214528</v>
      </c>
      <c r="G128" s="3">
        <f t="array" ref="G128">IFERROR(INDEX(mda_last_round!C:C,MATCH(C128,mda_last_round!E:E,0)),"NA")</f>
        <v>0</v>
      </c>
      <c r="H128" s="3">
        <f t="array" ref="H128">IFERROR(INDEX(immuization!E:E,MATCH(C128,immuization!C:C,0)),"NA")</f>
        <v>154654</v>
      </c>
    </row>
    <row r="129">
      <c r="A129" s="1" t="s">
        <v>215</v>
      </c>
      <c r="B129" s="1" t="s">
        <v>267</v>
      </c>
      <c r="C129" s="1" t="s">
        <v>268</v>
      </c>
      <c r="D129" s="3" t="str">
        <f t="array" ref="D129">IFERROR(INDEX(ie_records!D:D,MATCH(C129,ie_records!C:C,0)),"NA")</f>
        <v>NA</v>
      </c>
      <c r="E129" s="2" t="s">
        <v>218</v>
      </c>
      <c r="F129" s="3">
        <f t="array" ref="F129">IFERROR(INDEX(world_pop!G:G,MATCH(C129,world_pop!F:F,0)),"NA")</f>
        <v>39600</v>
      </c>
      <c r="G129" s="3">
        <f t="array" ref="G129">IFERROR(INDEX(mda_last_round!C:C,MATCH(C129,mda_last_round!E:E,0)),"NA")</f>
        <v>42923</v>
      </c>
      <c r="H129" s="3">
        <f t="array" ref="H129">IFERROR(INDEX(immuization!E:E,MATCH(C129,immuization!C:C,0)),"NA")</f>
        <v>32653</v>
      </c>
    </row>
    <row r="130">
      <c r="A130" s="1" t="s">
        <v>215</v>
      </c>
      <c r="B130" s="1" t="s">
        <v>269</v>
      </c>
      <c r="C130" s="1" t="s">
        <v>270</v>
      </c>
      <c r="D130" s="3" t="str">
        <f t="array" ref="D130">IFERROR(INDEX(ie_records!D:D,MATCH(C130,ie_records!C:C,0)),"NA")</f>
        <v>NA</v>
      </c>
      <c r="E130" s="2" t="s">
        <v>218</v>
      </c>
      <c r="F130" s="3">
        <f t="array" ref="F130">IFERROR(INDEX(world_pop!G:G,MATCH(C130,world_pop!F:F,0)),"NA")</f>
        <v>49641</v>
      </c>
      <c r="G130" s="3">
        <f t="array" ref="G130">IFERROR(INDEX(mda_last_round!C:C,MATCH(C130,mda_last_round!E:E,0)),"NA")</f>
        <v>38641</v>
      </c>
      <c r="H130" s="3">
        <f t="array" ref="H130">IFERROR(INDEX(immuization!E:E,MATCH(C130,immuization!C:C,0)),"NA")</f>
        <v>51257</v>
      </c>
    </row>
    <row r="131">
      <c r="A131" s="1" t="s">
        <v>215</v>
      </c>
      <c r="B131" s="1" t="s">
        <v>271</v>
      </c>
      <c r="C131" s="1" t="s">
        <v>272</v>
      </c>
      <c r="D131" s="3" t="str">
        <f t="array" ref="D131">IFERROR(INDEX(ie_records!D:D,MATCH(C131,ie_records!C:C,0)),"NA")</f>
        <v>NA</v>
      </c>
      <c r="E131" s="2" t="s">
        <v>218</v>
      </c>
      <c r="F131" s="3">
        <f t="array" ref="F131">IFERROR(INDEX(world_pop!G:G,MATCH(C131,world_pop!F:F,0)),"NA")</f>
        <v>47487</v>
      </c>
      <c r="G131" s="3">
        <f t="array" ref="G131">IFERROR(INDEX(mda_last_round!C:C,MATCH(C131,mda_last_round!E:E,0)),"NA")</f>
        <v>63584</v>
      </c>
      <c r="H131" s="3">
        <f t="array" ref="H131">IFERROR(INDEX(immuization!E:E,MATCH(C131,immuization!C:C,0)),"NA")</f>
        <v>59721</v>
      </c>
    </row>
    <row r="132">
      <c r="A132" s="1" t="s">
        <v>215</v>
      </c>
      <c r="B132" s="1" t="s">
        <v>273</v>
      </c>
      <c r="C132" s="1" t="s">
        <v>274</v>
      </c>
      <c r="D132" s="3" t="str">
        <f t="array" ref="D132">IFERROR(INDEX(ie_records!D:D,MATCH(C132,ie_records!C:C,0)),"NA")</f>
        <v>NA</v>
      </c>
      <c r="E132" s="2" t="s">
        <v>218</v>
      </c>
      <c r="F132" s="3">
        <f t="array" ref="F132">IFERROR(INDEX(world_pop!G:G,MATCH(C132,world_pop!F:F,0)),"NA")</f>
        <v>44416</v>
      </c>
      <c r="G132" s="3">
        <f t="array" ref="G132">IFERROR(INDEX(mda_last_round!C:C,MATCH(C132,mda_last_round!E:E,0)),"NA")</f>
        <v>0</v>
      </c>
      <c r="H132" s="3">
        <f t="array" ref="H132">IFERROR(INDEX(immuization!E:E,MATCH(C132,immuization!C:C,0)),"NA")</f>
        <v>56203</v>
      </c>
    </row>
    <row r="133">
      <c r="A133" s="1" t="s">
        <v>215</v>
      </c>
      <c r="B133" s="1" t="s">
        <v>275</v>
      </c>
      <c r="C133" s="1" t="s">
        <v>276</v>
      </c>
      <c r="D133" s="3" t="str">
        <f t="array" ref="D133">IFERROR(INDEX(ie_records!D:D,MATCH(C133,ie_records!C:C,0)),"NA")</f>
        <v>NA</v>
      </c>
      <c r="E133" s="2" t="s">
        <v>218</v>
      </c>
      <c r="F133" s="3">
        <f t="array" ref="F133">IFERROR(INDEX(world_pop!G:G,MATCH(C133,world_pop!F:F,0)),"NA")</f>
        <v>79438</v>
      </c>
      <c r="G133" s="3">
        <f t="array" ref="G133">IFERROR(INDEX(mda_last_round!C:C,MATCH(C133,mda_last_round!E:E,0)),"NA")</f>
        <v>84609</v>
      </c>
      <c r="H133" s="3">
        <f t="array" ref="H133">IFERROR(INDEX(immuization!E:E,MATCH(C133,immuization!C:C,0)),"NA")</f>
        <v>70641</v>
      </c>
    </row>
    <row r="134">
      <c r="A134" s="1" t="s">
        <v>215</v>
      </c>
      <c r="B134" s="1" t="s">
        <v>277</v>
      </c>
      <c r="C134" s="1" t="s">
        <v>278</v>
      </c>
      <c r="D134" s="3" t="str">
        <f t="array" ref="D134">IFERROR(INDEX(ie_records!D:D,MATCH(C134,ie_records!C:C,0)),"NA")</f>
        <v>NA</v>
      </c>
      <c r="E134" s="2" t="s">
        <v>218</v>
      </c>
      <c r="F134" s="3">
        <f t="array" ref="F134">IFERROR(INDEX(world_pop!G:G,MATCH(C134,world_pop!F:F,0)),"NA")</f>
        <v>153178</v>
      </c>
      <c r="G134" s="3">
        <f t="array" ref="G134">IFERROR(INDEX(mda_last_round!C:C,MATCH(C134,mda_last_round!E:E,0)),"NA")</f>
        <v>0</v>
      </c>
      <c r="H134" s="3">
        <f t="array" ref="H134">IFERROR(INDEX(immuization!E:E,MATCH(C134,immuization!C:C,0)),"NA")</f>
        <v>170002</v>
      </c>
    </row>
    <row r="135">
      <c r="A135" s="1" t="s">
        <v>215</v>
      </c>
      <c r="B135" s="1" t="s">
        <v>279</v>
      </c>
      <c r="C135" s="1" t="s">
        <v>280</v>
      </c>
      <c r="D135" s="3" t="str">
        <f t="array" ref="D135">IFERROR(INDEX(ie_records!D:D,MATCH(C135,ie_records!C:C,0)),"NA")</f>
        <v>NA</v>
      </c>
      <c r="E135" s="2" t="s">
        <v>218</v>
      </c>
      <c r="F135" s="3">
        <f t="array" ref="F135">IFERROR(INDEX(world_pop!G:G,MATCH(C135,world_pop!F:F,0)),"NA")</f>
        <v>51813</v>
      </c>
      <c r="G135" s="3">
        <f t="array" ref="G135">IFERROR(INDEX(mda_last_round!C:C,MATCH(C135,mda_last_round!E:E,0)),"NA")</f>
        <v>0</v>
      </c>
      <c r="H135" s="3">
        <f t="array" ref="H135">IFERROR(INDEX(immuization!E:E,MATCH(C135,immuization!C:C,0)),"NA")</f>
        <v>62573</v>
      </c>
    </row>
    <row r="136">
      <c r="A136" s="1" t="s">
        <v>215</v>
      </c>
      <c r="B136" s="1" t="s">
        <v>281</v>
      </c>
      <c r="C136" s="1" t="s">
        <v>282</v>
      </c>
      <c r="D136" s="3" t="str">
        <f t="array" ref="D136">IFERROR(INDEX(ie_records!D:D,MATCH(C136,ie_records!C:C,0)),"NA")</f>
        <v>NA</v>
      </c>
      <c r="E136" s="2" t="s">
        <v>218</v>
      </c>
      <c r="F136" s="3">
        <f t="array" ref="F136">IFERROR(INDEX(world_pop!G:G,MATCH(C136,world_pop!F:F,0)),"NA")</f>
        <v>31899</v>
      </c>
      <c r="G136" s="3">
        <f t="array" ref="G136">IFERROR(INDEX(mda_last_round!C:C,MATCH(C136,mda_last_round!E:E,0)),"NA")</f>
        <v>52595</v>
      </c>
      <c r="H136" s="3">
        <f t="array" ref="H136">IFERROR(INDEX(immuization!E:E,MATCH(C136,immuization!C:C,0)),"NA")</f>
        <v>35477</v>
      </c>
    </row>
    <row r="137">
      <c r="A137" s="1" t="s">
        <v>215</v>
      </c>
      <c r="B137" s="1" t="s">
        <v>283</v>
      </c>
      <c r="C137" s="1" t="s">
        <v>284</v>
      </c>
      <c r="D137" s="3" t="str">
        <f t="array" ref="D137">IFERROR(INDEX(ie_records!D:D,MATCH(C137,ie_records!C:C,0)),"NA")</f>
        <v>NA</v>
      </c>
      <c r="E137" s="2" t="s">
        <v>218</v>
      </c>
      <c r="F137" s="3">
        <f t="array" ref="F137">IFERROR(INDEX(world_pop!G:G,MATCH(C137,world_pop!F:F,0)),"NA")</f>
        <v>64862</v>
      </c>
      <c r="G137" s="3">
        <f t="array" ref="G137">IFERROR(INDEX(mda_last_round!C:C,MATCH(C137,mda_last_round!E:E,0)),"NA")</f>
        <v>106846</v>
      </c>
      <c r="H137" s="3">
        <f t="array" ref="H137">IFERROR(INDEX(immuization!E:E,MATCH(C137,immuization!C:C,0)),"NA")</f>
        <v>100823</v>
      </c>
    </row>
    <row r="138">
      <c r="A138" s="1" t="s">
        <v>215</v>
      </c>
      <c r="B138" s="1" t="s">
        <v>285</v>
      </c>
      <c r="C138" s="1" t="s">
        <v>286</v>
      </c>
      <c r="D138" s="3" t="str">
        <f t="array" ref="D138">IFERROR(INDEX(ie_records!D:D,MATCH(C138,ie_records!C:C,0)),"NA")</f>
        <v>NA</v>
      </c>
      <c r="E138" s="2" t="s">
        <v>218</v>
      </c>
      <c r="F138" s="3">
        <f t="array" ref="F138">IFERROR(INDEX(world_pop!G:G,MATCH(C138,world_pop!F:F,0)),"NA")</f>
        <v>48792</v>
      </c>
      <c r="G138" s="3">
        <f t="array" ref="G138">IFERROR(INDEX(mda_last_round!C:C,MATCH(C138,mda_last_round!E:E,0)),"NA")</f>
        <v>61580</v>
      </c>
      <c r="H138" s="3">
        <f t="array" ref="H138">IFERROR(INDEX(immuization!E:E,MATCH(C138,immuization!C:C,0)),"NA")</f>
        <v>53650</v>
      </c>
    </row>
    <row r="139">
      <c r="A139" s="1" t="s">
        <v>215</v>
      </c>
      <c r="B139" s="1" t="s">
        <v>287</v>
      </c>
      <c r="C139" s="1" t="s">
        <v>288</v>
      </c>
      <c r="D139" s="3" t="str">
        <f t="array" ref="D139">IFERROR(INDEX(ie_records!D:D,MATCH(C139,ie_records!C:C,0)),"NA")</f>
        <v>NA</v>
      </c>
      <c r="E139" s="2" t="s">
        <v>218</v>
      </c>
      <c r="F139" s="3">
        <f t="array" ref="F139">IFERROR(INDEX(world_pop!G:G,MATCH(C139,world_pop!F:F,0)),"NA")</f>
        <v>85094</v>
      </c>
      <c r="G139" s="3">
        <f t="array" ref="G139">IFERROR(INDEX(mda_last_round!C:C,MATCH(C139,mda_last_round!E:E,0)),"NA")</f>
        <v>0</v>
      </c>
      <c r="H139" s="3">
        <f t="array" ref="H139">IFERROR(INDEX(immuization!E:E,MATCH(C139,immuization!C:C,0)),"NA")</f>
        <v>76242</v>
      </c>
    </row>
    <row r="140">
      <c r="A140" s="1" t="s">
        <v>215</v>
      </c>
      <c r="B140" s="1" t="s">
        <v>289</v>
      </c>
      <c r="C140" s="1" t="s">
        <v>290</v>
      </c>
      <c r="D140" s="3" t="str">
        <f t="array" ref="D140">IFERROR(INDEX(ie_records!D:D,MATCH(C140,ie_records!C:C,0)),"NA")</f>
        <v>NA</v>
      </c>
      <c r="E140" s="2" t="s">
        <v>218</v>
      </c>
      <c r="F140" s="3">
        <f t="array" ref="F140">IFERROR(INDEX(world_pop!G:G,MATCH(C140,world_pop!F:F,0)),"NA")</f>
        <v>76470</v>
      </c>
      <c r="G140" s="3">
        <f t="array" ref="G140">IFERROR(INDEX(mda_last_round!C:C,MATCH(C140,mda_last_round!E:E,0)),"NA")</f>
        <v>82326</v>
      </c>
      <c r="H140" s="3">
        <f t="array" ref="H140">IFERROR(INDEX(immuization!E:E,MATCH(C140,immuization!C:C,0)),"NA")</f>
        <v>80409</v>
      </c>
    </row>
    <row r="141">
      <c r="A141" s="1" t="s">
        <v>215</v>
      </c>
      <c r="B141" s="1" t="s">
        <v>291</v>
      </c>
      <c r="C141" s="1" t="s">
        <v>292</v>
      </c>
      <c r="D141" s="3" t="str">
        <f t="array" ref="D141">IFERROR(INDEX(ie_records!D:D,MATCH(C141,ie_records!C:C,0)),"NA")</f>
        <v>NA</v>
      </c>
      <c r="E141" s="2" t="s">
        <v>218</v>
      </c>
      <c r="F141" s="3">
        <f t="array" ref="F141">IFERROR(INDEX(world_pop!G:G,MATCH(C141,world_pop!F:F,0)),"NA")</f>
        <v>65110</v>
      </c>
      <c r="G141" s="3">
        <f t="array" ref="G141">IFERROR(INDEX(mda_last_round!C:C,MATCH(C141,mda_last_round!E:E,0)),"NA")</f>
        <v>75633</v>
      </c>
      <c r="H141" s="3">
        <f t="array" ref="H141">IFERROR(INDEX(immuization!E:E,MATCH(C141,immuization!C:C,0)),"NA")</f>
        <v>67599</v>
      </c>
    </row>
    <row r="142">
      <c r="A142" s="1" t="s">
        <v>215</v>
      </c>
      <c r="B142" s="1" t="s">
        <v>293</v>
      </c>
      <c r="C142" s="1" t="s">
        <v>294</v>
      </c>
      <c r="D142" s="3" t="str">
        <f t="array" ref="D142">IFERROR(INDEX(ie_records!D:D,MATCH(C142,ie_records!C:C,0)),"NA")</f>
        <v>NA</v>
      </c>
      <c r="E142" s="2" t="s">
        <v>218</v>
      </c>
      <c r="F142" s="3">
        <f t="array" ref="F142">IFERROR(INDEX(world_pop!G:G,MATCH(C142,world_pop!F:F,0)),"NA")</f>
        <v>37618</v>
      </c>
      <c r="G142" s="3">
        <f t="array" ref="G142">IFERROR(INDEX(mda_last_round!C:C,MATCH(C142,mda_last_round!E:E,0)),"NA")</f>
        <v>42570</v>
      </c>
      <c r="H142" s="3">
        <f t="array" ref="H142">IFERROR(INDEX(immuization!E:E,MATCH(C142,immuization!C:C,0)),"NA")</f>
        <v>38090</v>
      </c>
    </row>
    <row r="143">
      <c r="A143" s="1" t="s">
        <v>215</v>
      </c>
      <c r="B143" s="1" t="s">
        <v>295</v>
      </c>
      <c r="C143" s="1" t="s">
        <v>296</v>
      </c>
      <c r="D143" s="3" t="str">
        <f t="array" ref="D143">IFERROR(INDEX(ie_records!D:D,MATCH(C143,ie_records!C:C,0)),"NA")</f>
        <v>NA</v>
      </c>
      <c r="E143" s="2" t="s">
        <v>218</v>
      </c>
      <c r="F143" s="3">
        <f t="array" ref="F143">IFERROR(INDEX(world_pop!G:G,MATCH(C143,world_pop!F:F,0)),"NA")</f>
        <v>42054</v>
      </c>
      <c r="G143" s="3">
        <f t="array" ref="G143">IFERROR(INDEX(mda_last_round!C:C,MATCH(C143,mda_last_round!E:E,0)),"NA")</f>
        <v>0</v>
      </c>
      <c r="H143" s="3">
        <f t="array" ref="H143">IFERROR(INDEX(immuization!E:E,MATCH(C143,immuization!C:C,0)),"NA")</f>
        <v>54564</v>
      </c>
    </row>
    <row r="144">
      <c r="A144" s="1" t="s">
        <v>215</v>
      </c>
      <c r="B144" s="1" t="s">
        <v>297</v>
      </c>
      <c r="C144" s="1" t="s">
        <v>298</v>
      </c>
      <c r="D144" s="3" t="str">
        <f t="array" ref="D144">IFERROR(INDEX(ie_records!D:D,MATCH(C144,ie_records!C:C,0)),"NA")</f>
        <v>NA</v>
      </c>
      <c r="E144" s="2" t="s">
        <v>218</v>
      </c>
      <c r="F144" s="3">
        <f t="array" ref="F144">IFERROR(INDEX(world_pop!G:G,MATCH(C144,world_pop!F:F,0)),"NA")</f>
        <v>72701</v>
      </c>
      <c r="G144" s="3">
        <f t="array" ref="G144">IFERROR(INDEX(mda_last_round!C:C,MATCH(C144,mda_last_round!E:E,0)),"NA")</f>
        <v>87113</v>
      </c>
      <c r="H144" s="3">
        <f t="array" ref="H144">IFERROR(INDEX(immuization!E:E,MATCH(C144,immuization!C:C,0)),"NA")</f>
        <v>91941</v>
      </c>
    </row>
    <row r="145">
      <c r="A145" s="1" t="s">
        <v>215</v>
      </c>
      <c r="B145" s="1" t="s">
        <v>299</v>
      </c>
      <c r="C145" s="1" t="s">
        <v>300</v>
      </c>
      <c r="D145" s="3" t="str">
        <f t="array" ref="D145">IFERROR(INDEX(ie_records!D:D,MATCH(C145,ie_records!C:C,0)),"NA")</f>
        <v>NA</v>
      </c>
      <c r="E145" s="2" t="s">
        <v>218</v>
      </c>
      <c r="F145" s="3">
        <f t="array" ref="F145">IFERROR(INDEX(world_pop!G:G,MATCH(C145,world_pop!F:F,0)),"NA")</f>
        <v>218794</v>
      </c>
      <c r="G145" s="3">
        <f t="array" ref="G145">IFERROR(INDEX(mda_last_round!C:C,MATCH(C145,mda_last_round!E:E,0)),"NA")</f>
        <v>252480</v>
      </c>
      <c r="H145" s="3">
        <f t="array" ref="H145">IFERROR(INDEX(immuization!E:E,MATCH(C145,immuization!C:C,0)),"NA")</f>
        <v>242492</v>
      </c>
    </row>
    <row r="146">
      <c r="A146" s="1" t="s">
        <v>215</v>
      </c>
      <c r="B146" s="1" t="s">
        <v>301</v>
      </c>
      <c r="C146" s="1" t="s">
        <v>302</v>
      </c>
      <c r="D146" s="3" t="str">
        <f t="array" ref="D146">IFERROR(INDEX(ie_records!D:D,MATCH(C146,ie_records!C:C,0)),"NA")</f>
        <v>NA</v>
      </c>
      <c r="E146" s="2" t="s">
        <v>218</v>
      </c>
      <c r="F146" s="3">
        <f t="array" ref="F146">IFERROR(INDEX(world_pop!G:G,MATCH(C146,world_pop!F:F,0)),"NA")</f>
        <v>46196</v>
      </c>
      <c r="G146" s="3">
        <f t="array" ref="G146">IFERROR(INDEX(mda_last_round!C:C,MATCH(C146,mda_last_round!E:E,0)),"NA")</f>
        <v>56074</v>
      </c>
      <c r="H146" s="3">
        <f t="array" ref="H146">IFERROR(INDEX(immuization!E:E,MATCH(C146,immuization!C:C,0)),"NA")</f>
        <v>49023</v>
      </c>
    </row>
    <row r="147">
      <c r="A147" s="1" t="s">
        <v>215</v>
      </c>
      <c r="B147" s="1" t="s">
        <v>303</v>
      </c>
      <c r="C147" s="1" t="s">
        <v>304</v>
      </c>
      <c r="D147" s="3" t="str">
        <f t="array" ref="D147">IFERROR(INDEX(ie_records!D:D,MATCH(C147,ie_records!C:C,0)),"NA")</f>
        <v>NA</v>
      </c>
      <c r="E147" s="2" t="s">
        <v>218</v>
      </c>
      <c r="F147" s="3">
        <f t="array" ref="F147">IFERROR(INDEX(world_pop!G:G,MATCH(C147,world_pop!F:F,0)),"NA")</f>
        <v>64586</v>
      </c>
      <c r="G147" s="3">
        <f t="array" ref="G147">IFERROR(INDEX(mda_last_round!C:C,MATCH(C147,mda_last_round!E:E,0)),"NA")</f>
        <v>65596</v>
      </c>
      <c r="H147" s="3">
        <f t="array" ref="H147">IFERROR(INDEX(immuization!E:E,MATCH(C147,immuization!C:C,0)),"NA")</f>
        <v>57874</v>
      </c>
    </row>
    <row r="148">
      <c r="A148" s="1" t="s">
        <v>305</v>
      </c>
      <c r="B148" s="1" t="s">
        <v>306</v>
      </c>
      <c r="C148" s="1" t="s">
        <v>307</v>
      </c>
      <c r="D148" s="3">
        <f t="array" ref="D148">IFERROR(INDEX(ie_records!D:D,MATCH(C148,ie_records!C:C,0)),"NA")</f>
        <v>76017</v>
      </c>
      <c r="E148" s="3" t="str">
        <f t="array" ref="E148">IFERROR(INDEX(enumeration_kad_bau_ada_gombe_y!D:D,MATCH(C148,enumeration_kad_bau_ada_gombe_y!B:B,0)),"NA")</f>
        <v>NA</v>
      </c>
      <c r="F148" s="3">
        <f t="array" ref="F148">IFERROR(INDEX(world_pop!G:G,MATCH(C148,world_pop!F:F,0)),"NA")</f>
        <v>70913</v>
      </c>
      <c r="G148" s="3">
        <f t="array" ref="G148">IFERROR(INDEX(mda_last_round!C:C,MATCH(C148,mda_last_round!E:E,0)),"NA")</f>
        <v>71784</v>
      </c>
      <c r="H148" s="3">
        <f t="array" ref="H148">IFERROR(INDEX(immuization!E:E,MATCH(C148,immuization!C:C,0)),"NA")</f>
        <v>98957</v>
      </c>
    </row>
    <row r="149">
      <c r="A149" s="1" t="s">
        <v>305</v>
      </c>
      <c r="B149" s="1" t="s">
        <v>308</v>
      </c>
      <c r="C149" s="1" t="s">
        <v>309</v>
      </c>
      <c r="D149" s="3">
        <f t="array" ref="D149">IFERROR(INDEX(ie_records!D:D,MATCH(C149,ie_records!C:C,0)),"NA")</f>
        <v>50010</v>
      </c>
      <c r="E149" s="3" t="str">
        <f t="array" ref="E149">IFERROR(INDEX(enumeration_kad_bau_ada_gombe_y!D:D,MATCH(C149,enumeration_kad_bau_ada_gombe_y!B:B,0)),"NA")</f>
        <v>NA</v>
      </c>
      <c r="F149" s="3">
        <f t="array" ref="F149">IFERROR(INDEX(world_pop!G:G,MATCH(C149,world_pop!F:F,0)),"NA")</f>
        <v>68528</v>
      </c>
      <c r="G149" s="3">
        <f t="array" ref="G149">IFERROR(INDEX(mda_last_round!C:C,MATCH(C149,mda_last_round!E:E,0)),"NA")</f>
        <v>40388</v>
      </c>
      <c r="H149" s="3">
        <f t="array" ref="H149">IFERROR(INDEX(immuization!E:E,MATCH(C149,immuization!C:C,0)),"NA")</f>
        <v>79516</v>
      </c>
    </row>
    <row r="150">
      <c r="A150" s="1" t="s">
        <v>305</v>
      </c>
      <c r="B150" s="1" t="s">
        <v>310</v>
      </c>
      <c r="C150" s="1" t="s">
        <v>311</v>
      </c>
      <c r="D150" s="3">
        <f t="array" ref="D150">IFERROR(INDEX(ie_records!D:D,MATCH(C150,ie_records!C:C,0)),"NA")</f>
        <v>51682</v>
      </c>
      <c r="E150" s="3" t="str">
        <f t="array" ref="E150">IFERROR(INDEX(enumeration_kad_bau_ada_gombe_y!D:D,MATCH(C150,enumeration_kad_bau_ada_gombe_y!B:B,0)),"NA")</f>
        <v>NA</v>
      </c>
      <c r="F150" s="3">
        <f t="array" ref="F150">IFERROR(INDEX(world_pop!G:G,MATCH(C150,world_pop!F:F,0)),"NA")</f>
        <v>51367</v>
      </c>
      <c r="G150" s="3">
        <f t="array" ref="G150">IFERROR(INDEX(mda_last_round!C:C,MATCH(C150,mda_last_round!E:E,0)),"NA")</f>
        <v>50957</v>
      </c>
      <c r="H150" s="3">
        <f t="array" ref="H150">IFERROR(INDEX(immuization!E:E,MATCH(C150,immuization!C:C,0)),"NA")</f>
        <v>74116</v>
      </c>
    </row>
    <row r="151">
      <c r="A151" s="1" t="s">
        <v>305</v>
      </c>
      <c r="B151" s="1" t="s">
        <v>312</v>
      </c>
      <c r="C151" s="1" t="s">
        <v>313</v>
      </c>
      <c r="D151" s="3">
        <f t="array" ref="D151">IFERROR(INDEX(ie_records!D:D,MATCH(C151,ie_records!C:C,0)),"NA")</f>
        <v>60003</v>
      </c>
      <c r="E151" s="3" t="str">
        <f t="array" ref="E151">IFERROR(INDEX(enumeration_kad_bau_ada_gombe_y!D:D,MATCH(C151,enumeration_kad_bau_ada_gombe_y!B:B,0)),"NA")</f>
        <v>NA</v>
      </c>
      <c r="F151" s="3">
        <f t="array" ref="F151">IFERROR(INDEX(world_pop!G:G,MATCH(C151,world_pop!F:F,0)),"NA")</f>
        <v>65547</v>
      </c>
      <c r="G151" s="3">
        <f t="array" ref="G151">IFERROR(INDEX(mda_last_round!C:C,MATCH(C151,mda_last_round!E:E,0)),"NA")</f>
        <v>65008</v>
      </c>
      <c r="H151" s="3">
        <f t="array" ref="H151">IFERROR(INDEX(immuization!E:E,MATCH(C151,immuization!C:C,0)),"NA")</f>
        <v>65858</v>
      </c>
    </row>
    <row r="152">
      <c r="A152" s="1" t="s">
        <v>305</v>
      </c>
      <c r="B152" s="1" t="s">
        <v>314</v>
      </c>
      <c r="C152" s="1" t="s">
        <v>315</v>
      </c>
      <c r="D152" s="3">
        <f t="array" ref="D152">IFERROR(INDEX(ie_records!D:D,MATCH(C152,ie_records!C:C,0)),"NA")</f>
        <v>48301</v>
      </c>
      <c r="E152" s="3" t="str">
        <f t="array" ref="E152">IFERROR(INDEX(enumeration_kad_bau_ada_gombe_y!D:D,MATCH(C152,enumeration_kad_bau_ada_gombe_y!B:B,0)),"NA")</f>
        <v>NA</v>
      </c>
      <c r="F152" s="3">
        <f t="array" ref="F152">IFERROR(INDEX(world_pop!G:G,MATCH(C152,world_pop!F:F,0)),"NA")</f>
        <v>49022</v>
      </c>
      <c r="G152" s="3">
        <f t="array" ref="G152">IFERROR(INDEX(mda_last_round!C:C,MATCH(C152,mda_last_round!E:E,0)),"NA")</f>
        <v>42937</v>
      </c>
      <c r="H152" s="3">
        <f t="array" ref="H152">IFERROR(INDEX(immuization!E:E,MATCH(C152,immuization!C:C,0)),"NA")</f>
        <v>64533</v>
      </c>
    </row>
    <row r="153">
      <c r="A153" s="1" t="s">
        <v>305</v>
      </c>
      <c r="B153" s="1" t="s">
        <v>316</v>
      </c>
      <c r="C153" s="1" t="s">
        <v>317</v>
      </c>
      <c r="D153" s="3">
        <f t="array" ref="D153">IFERROR(INDEX(ie_records!D:D,MATCH(C153,ie_records!C:C,0)),"NA")</f>
        <v>46938</v>
      </c>
      <c r="E153" s="3" t="str">
        <f t="array" ref="E153">IFERROR(INDEX(enumeration_kad_bau_ada_gombe_y!D:D,MATCH(C153,enumeration_kad_bau_ada_gombe_y!B:B,0)),"NA")</f>
        <v>NA</v>
      </c>
      <c r="F153" s="3">
        <f t="array" ref="F153">IFERROR(INDEX(world_pop!G:G,MATCH(C153,world_pop!F:F,0)),"NA")</f>
        <v>48002</v>
      </c>
      <c r="G153" s="3">
        <f t="array" ref="G153">IFERROR(INDEX(mda_last_round!C:C,MATCH(C153,mda_last_round!E:E,0)),"NA")</f>
        <v>62432</v>
      </c>
      <c r="H153" s="3">
        <f t="array" ref="H153">IFERROR(INDEX(immuization!E:E,MATCH(C153,immuization!C:C,0)),"NA")</f>
        <v>53609</v>
      </c>
    </row>
    <row r="154">
      <c r="A154" s="1" t="s">
        <v>305</v>
      </c>
      <c r="B154" s="1" t="s">
        <v>318</v>
      </c>
      <c r="C154" s="1" t="s">
        <v>319</v>
      </c>
      <c r="D154" s="3">
        <f t="array" ref="D154">IFERROR(INDEX(ie_records!D:D,MATCH(C154,ie_records!C:C,0)),"NA")</f>
        <v>45128</v>
      </c>
      <c r="E154" s="3" t="str">
        <f t="array" ref="E154">IFERROR(INDEX(enumeration_kad_bau_ada_gombe_y!D:D,MATCH(C154,enumeration_kad_bau_ada_gombe_y!B:B,0)),"NA")</f>
        <v>NA</v>
      </c>
      <c r="F154" s="3">
        <f t="array" ref="F154">IFERROR(INDEX(world_pop!G:G,MATCH(C154,world_pop!F:F,0)),"NA")</f>
        <v>46377</v>
      </c>
      <c r="G154" s="3">
        <f t="array" ref="G154">IFERROR(INDEX(mda_last_round!C:C,MATCH(C154,mda_last_round!E:E,0)),"NA")</f>
        <v>62407</v>
      </c>
      <c r="H154" s="3">
        <f t="array" ref="H154">IFERROR(INDEX(immuization!E:E,MATCH(C154,immuization!C:C,0)),"NA")</f>
        <v>50263</v>
      </c>
    </row>
    <row r="155">
      <c r="A155" s="1" t="s">
        <v>305</v>
      </c>
      <c r="B155" s="1" t="s">
        <v>320</v>
      </c>
      <c r="C155" s="1" t="s">
        <v>321</v>
      </c>
      <c r="D155" s="3">
        <f t="array" ref="D155">IFERROR(INDEX(ie_records!D:D,MATCH(C155,ie_records!C:C,0)),"NA")</f>
        <v>69858</v>
      </c>
      <c r="E155" s="3" t="str">
        <f t="array" ref="E155">IFERROR(INDEX(enumeration_kad_bau_ada_gombe_y!D:D,MATCH(C155,enumeration_kad_bau_ada_gombe_y!B:B,0)),"NA")</f>
        <v>NA</v>
      </c>
      <c r="F155" s="3">
        <f t="array" ref="F155">IFERROR(INDEX(world_pop!G:G,MATCH(C155,world_pop!F:F,0)),"NA")</f>
        <v>56497</v>
      </c>
      <c r="G155" s="3">
        <f t="array" ref="G155">IFERROR(INDEX(mda_last_round!C:C,MATCH(C155,mda_last_round!E:E,0)),"NA")</f>
        <v>61728</v>
      </c>
      <c r="H155" s="3">
        <f t="array" ref="H155">IFERROR(INDEX(immuization!E:E,MATCH(C155,immuization!C:C,0)),"NA")</f>
        <v>75241</v>
      </c>
    </row>
    <row r="156">
      <c r="A156" s="1" t="s">
        <v>305</v>
      </c>
      <c r="B156" s="1" t="s">
        <v>322</v>
      </c>
      <c r="C156" s="1" t="s">
        <v>323</v>
      </c>
      <c r="D156" s="3">
        <f t="array" ref="D156">IFERROR(INDEX(ie_records!D:D,MATCH(C156,ie_records!C:C,0)),"NA")</f>
        <v>66182</v>
      </c>
      <c r="E156" s="3" t="str">
        <f t="array" ref="E156">IFERROR(INDEX(enumeration_kad_bau_ada_gombe_y!D:D,MATCH(C156,enumeration_kad_bau_ada_gombe_y!B:B,0)),"NA")</f>
        <v>NA</v>
      </c>
      <c r="F156" s="3">
        <f t="array" ref="F156">IFERROR(INDEX(world_pop!G:G,MATCH(C156,world_pop!F:F,0)),"NA")</f>
        <v>58607</v>
      </c>
      <c r="G156" s="3">
        <f t="array" ref="G156">IFERROR(INDEX(mda_last_round!C:C,MATCH(C156,mda_last_round!E:E,0)),"NA")</f>
        <v>46651</v>
      </c>
      <c r="H156" s="3">
        <f t="array" ref="H156">IFERROR(INDEX(immuization!E:E,MATCH(C156,immuization!C:C,0)),"NA")</f>
        <v>97249</v>
      </c>
    </row>
    <row r="157">
      <c r="A157" s="1" t="s">
        <v>305</v>
      </c>
      <c r="B157" s="1" t="s">
        <v>324</v>
      </c>
      <c r="C157" s="1" t="s">
        <v>325</v>
      </c>
      <c r="D157" s="3">
        <f t="array" ref="D157">IFERROR(INDEX(ie_records!D:D,MATCH(C157,ie_records!C:C,0)),"NA")</f>
        <v>32790</v>
      </c>
      <c r="E157" s="3" t="str">
        <f t="array" ref="E157">IFERROR(INDEX(enumeration_kad_bau_ada_gombe_y!D:D,MATCH(C157,enumeration_kad_bau_ada_gombe_y!B:B,0)),"NA")</f>
        <v>NA</v>
      </c>
      <c r="F157" s="3">
        <f t="array" ref="F157">IFERROR(INDEX(world_pop!G:G,MATCH(C157,world_pop!F:F,0)),"NA")</f>
        <v>64537</v>
      </c>
      <c r="G157" s="3">
        <f t="array" ref="G157">IFERROR(INDEX(mda_last_round!C:C,MATCH(C157,mda_last_round!E:E,0)),"NA")</f>
        <v>61746</v>
      </c>
      <c r="H157" s="3">
        <f t="array" ref="H157">IFERROR(INDEX(immuization!E:E,MATCH(C157,immuization!C:C,0)),"NA")</f>
        <v>75067</v>
      </c>
    </row>
    <row r="158">
      <c r="A158" s="1" t="s">
        <v>305</v>
      </c>
      <c r="B158" s="1" t="s">
        <v>326</v>
      </c>
      <c r="C158" s="1" t="s">
        <v>327</v>
      </c>
      <c r="D158" s="3">
        <f t="array" ref="D158">IFERROR(INDEX(ie_records!D:D,MATCH(C158,ie_records!C:C,0)),"NA")</f>
        <v>32600</v>
      </c>
      <c r="E158" s="3" t="str">
        <f t="array" ref="E158">IFERROR(INDEX(enumeration_kad_bau_ada_gombe_y!D:D,MATCH(C158,enumeration_kad_bau_ada_gombe_y!B:B,0)),"NA")</f>
        <v>NA</v>
      </c>
      <c r="F158" s="3">
        <f t="array" ref="F158">IFERROR(INDEX(world_pop!G:G,MATCH(C158,world_pop!F:F,0)),"NA")</f>
        <v>43950</v>
      </c>
      <c r="G158" s="3">
        <f t="array" ref="G158">IFERROR(INDEX(mda_last_round!C:C,MATCH(C158,mda_last_round!E:E,0)),"NA")</f>
        <v>33219</v>
      </c>
      <c r="H158" s="3">
        <f t="array" ref="H158">IFERROR(INDEX(immuization!E:E,MATCH(C158,immuization!C:C,0)),"NA")</f>
        <v>54716</v>
      </c>
    </row>
    <row r="159">
      <c r="A159" s="1" t="s">
        <v>305</v>
      </c>
      <c r="B159" s="1" t="s">
        <v>328</v>
      </c>
      <c r="C159" s="1" t="s">
        <v>329</v>
      </c>
      <c r="D159" s="3">
        <f t="array" ref="D159">IFERROR(INDEX(ie_records!D:D,MATCH(C159,ie_records!C:C,0)),"NA")</f>
        <v>66490</v>
      </c>
      <c r="E159" s="3" t="str">
        <f t="array" ref="E159">IFERROR(INDEX(enumeration_kad_bau_ada_gombe_y!D:D,MATCH(C159,enumeration_kad_bau_ada_gombe_y!B:B,0)),"NA")</f>
        <v>NA</v>
      </c>
      <c r="F159" s="3">
        <f t="array" ref="F159">IFERROR(INDEX(world_pop!G:G,MATCH(C159,world_pop!F:F,0)),"NA")</f>
        <v>65942</v>
      </c>
      <c r="G159" s="3">
        <f t="array" ref="G159">IFERROR(INDEX(mda_last_round!C:C,MATCH(C159,mda_last_round!E:E,0)),"NA")</f>
        <v>50127</v>
      </c>
      <c r="H159" s="3">
        <f t="array" ref="H159">IFERROR(INDEX(immuization!E:E,MATCH(C159,immuization!C:C,0)),"NA")</f>
        <v>81045</v>
      </c>
    </row>
    <row r="160">
      <c r="A160" s="1" t="s">
        <v>305</v>
      </c>
      <c r="B160" s="1" t="s">
        <v>330</v>
      </c>
      <c r="C160" s="1" t="s">
        <v>331</v>
      </c>
      <c r="D160" s="3">
        <f t="array" ref="D160">IFERROR(INDEX(ie_records!D:D,MATCH(C160,ie_records!C:C,0)),"NA")</f>
        <v>32077</v>
      </c>
      <c r="E160" s="3" t="str">
        <f t="array" ref="E160">IFERROR(INDEX(enumeration_kad_bau_ada_gombe_y!D:D,MATCH(C160,enumeration_kad_bau_ada_gombe_y!B:B,0)),"NA")</f>
        <v>NA</v>
      </c>
      <c r="F160" s="3">
        <f t="array" ref="F160">IFERROR(INDEX(world_pop!G:G,MATCH(C160,world_pop!F:F,0)),"NA")</f>
        <v>65935</v>
      </c>
      <c r="G160" s="3">
        <f t="array" ref="G160">IFERROR(INDEX(mda_last_round!C:C,MATCH(C160,mda_last_round!E:E,0)),"NA")</f>
        <v>47970</v>
      </c>
      <c r="H160" s="3">
        <f t="array" ref="H160">IFERROR(INDEX(immuization!E:E,MATCH(C160,immuization!C:C,0)),"NA")</f>
        <v>74992</v>
      </c>
    </row>
    <row r="161">
      <c r="A161" s="1" t="s">
        <v>305</v>
      </c>
      <c r="B161" s="1" t="s">
        <v>332</v>
      </c>
      <c r="C161" s="1" t="s">
        <v>333</v>
      </c>
      <c r="D161" s="3">
        <f t="array" ref="D161">IFERROR(INDEX(ie_records!D:D,MATCH(C161,ie_records!C:C,0)),"NA")</f>
        <v>129995</v>
      </c>
      <c r="E161" s="3" t="str">
        <f t="array" ref="E161">IFERROR(INDEX(enumeration_kad_bau_ada_gombe_y!D:D,MATCH(C161,enumeration_kad_bau_ada_gombe_y!B:B,0)),"NA")</f>
        <v>NA</v>
      </c>
      <c r="F161" s="3">
        <f t="array" ref="F161">IFERROR(INDEX(world_pop!G:G,MATCH(C161,world_pop!F:F,0)),"NA")</f>
        <v>91515</v>
      </c>
      <c r="G161" s="3">
        <f t="array" ref="G161">IFERROR(INDEX(mda_last_round!C:C,MATCH(C161,mda_last_round!E:E,0)),"NA")</f>
        <v>122239</v>
      </c>
      <c r="H161" s="3">
        <f t="array" ref="H161">IFERROR(INDEX(immuization!E:E,MATCH(C161,immuization!C:C,0)),"NA")</f>
        <v>159310</v>
      </c>
    </row>
    <row r="162">
      <c r="A162" s="1" t="s">
        <v>305</v>
      </c>
      <c r="B162" s="1" t="s">
        <v>334</v>
      </c>
      <c r="C162" s="1" t="s">
        <v>335</v>
      </c>
      <c r="D162" s="3">
        <f t="array" ref="D162">IFERROR(INDEX(ie_records!D:D,MATCH(C162,ie_records!C:C,0)),"NA")</f>
        <v>49197</v>
      </c>
      <c r="E162" s="3" t="str">
        <f t="array" ref="E162">IFERROR(INDEX(enumeration_kad_bau_ada_gombe_y!D:D,MATCH(C162,enumeration_kad_bau_ada_gombe_y!B:B,0)),"NA")</f>
        <v>NA</v>
      </c>
      <c r="F162" s="3">
        <f t="array" ref="F162">IFERROR(INDEX(world_pop!G:G,MATCH(C162,world_pop!F:F,0)),"NA")</f>
        <v>57904</v>
      </c>
      <c r="G162" s="3">
        <f t="array" ref="G162">IFERROR(INDEX(mda_last_round!C:C,MATCH(C162,mda_last_round!E:E,0)),"NA")</f>
        <v>63481</v>
      </c>
      <c r="H162" s="3">
        <f t="array" ref="H162">IFERROR(INDEX(immuization!E:E,MATCH(C162,immuization!C:C,0)),"NA")</f>
        <v>56803</v>
      </c>
    </row>
    <row r="163">
      <c r="A163" s="1" t="s">
        <v>305</v>
      </c>
      <c r="B163" s="1" t="s">
        <v>336</v>
      </c>
      <c r="C163" s="1" t="s">
        <v>337</v>
      </c>
      <c r="D163" s="3">
        <f t="array" ref="D163">IFERROR(INDEX(ie_records!D:D,MATCH(C163,ie_records!C:C,0)),"NA")</f>
        <v>47994</v>
      </c>
      <c r="E163" s="3" t="str">
        <f t="array" ref="E163">IFERROR(INDEX(enumeration_kad_bau_ada_gombe_y!D:D,MATCH(C163,enumeration_kad_bau_ada_gombe_y!B:B,0)),"NA")</f>
        <v>NA</v>
      </c>
      <c r="F163" s="3">
        <f t="array" ref="F163">IFERROR(INDEX(world_pop!G:G,MATCH(C163,world_pop!F:F,0)),"NA")</f>
        <v>53586</v>
      </c>
      <c r="G163" s="3">
        <f t="array" ref="G163">IFERROR(INDEX(mda_last_round!C:C,MATCH(C163,mda_last_round!E:E,0)),"NA")</f>
        <v>0</v>
      </c>
      <c r="H163" s="3">
        <f t="array" ref="H163">IFERROR(INDEX(immuization!E:E,MATCH(C163,immuization!C:C,0)),"NA")</f>
        <v>66715</v>
      </c>
    </row>
    <row r="164">
      <c r="A164" s="1" t="s">
        <v>305</v>
      </c>
      <c r="B164" s="1" t="s">
        <v>338</v>
      </c>
      <c r="C164" s="1" t="s">
        <v>339</v>
      </c>
      <c r="D164" s="3">
        <f t="array" ref="D164">IFERROR(INDEX(ie_records!D:D,MATCH(C164,ie_records!C:C,0)),"NA")</f>
        <v>71246</v>
      </c>
      <c r="E164" s="3" t="str">
        <f t="array" ref="E164">IFERROR(INDEX(enumeration_kad_bau_ada_gombe_y!D:D,MATCH(C164,enumeration_kad_bau_ada_gombe_y!B:B,0)),"NA")</f>
        <v>NA</v>
      </c>
      <c r="F164" s="3">
        <f t="array" ref="F164">IFERROR(INDEX(world_pop!G:G,MATCH(C164,world_pop!F:F,0)),"NA")</f>
        <v>79005</v>
      </c>
      <c r="G164" s="3">
        <f t="array" ref="G164">IFERROR(INDEX(mda_last_round!C:C,MATCH(C164,mda_last_round!E:E,0)),"NA")</f>
        <v>69117</v>
      </c>
      <c r="H164" s="3">
        <f t="array" ref="H164">IFERROR(INDEX(immuization!E:E,MATCH(C164,immuization!C:C,0)),"NA")</f>
        <v>118533</v>
      </c>
    </row>
    <row r="165">
      <c r="A165" s="1" t="s">
        <v>305</v>
      </c>
      <c r="B165" s="1" t="s">
        <v>340</v>
      </c>
      <c r="C165" s="1" t="s">
        <v>341</v>
      </c>
      <c r="D165" s="3">
        <f t="array" ref="D165">IFERROR(INDEX(ie_records!D:D,MATCH(C165,ie_records!C:C,0)),"NA")</f>
        <v>53907</v>
      </c>
      <c r="E165" s="3" t="str">
        <f t="array" ref="E165">IFERROR(INDEX(enumeration_kad_bau_ada_gombe_y!D:D,MATCH(C165,enumeration_kad_bau_ada_gombe_y!B:B,0)),"NA")</f>
        <v>NA</v>
      </c>
      <c r="F165" s="3">
        <f t="array" ref="F165">IFERROR(INDEX(world_pop!G:G,MATCH(C165,world_pop!F:F,0)),"NA")</f>
        <v>51630</v>
      </c>
      <c r="G165" s="3">
        <f t="array" ref="G165">IFERROR(INDEX(mda_last_round!C:C,MATCH(C165,mda_last_round!E:E,0)),"NA")</f>
        <v>45309</v>
      </c>
      <c r="H165" s="3">
        <f t="array" ref="H165">IFERROR(INDEX(immuization!E:E,MATCH(C165,immuization!C:C,0)),"NA")</f>
        <v>57926</v>
      </c>
    </row>
    <row r="166">
      <c r="A166" s="1" t="s">
        <v>305</v>
      </c>
      <c r="B166" s="1" t="s">
        <v>342</v>
      </c>
      <c r="C166" s="1" t="s">
        <v>343</v>
      </c>
      <c r="D166" s="3">
        <f t="array" ref="D166">IFERROR(INDEX(ie_records!D:D,MATCH(C166,ie_records!C:C,0)),"NA")</f>
        <v>44613</v>
      </c>
      <c r="E166" s="3" t="str">
        <f t="array" ref="E166">IFERROR(INDEX(enumeration_kad_bau_ada_gombe_y!D:D,MATCH(C166,enumeration_kad_bau_ada_gombe_y!B:B,0)),"NA")</f>
        <v>NA</v>
      </c>
      <c r="F166" s="3">
        <f t="array" ref="F166">IFERROR(INDEX(world_pop!G:G,MATCH(C166,world_pop!F:F,0)),"NA")</f>
        <v>71931</v>
      </c>
      <c r="G166" s="3">
        <f t="array" ref="G166">IFERROR(INDEX(mda_last_round!C:C,MATCH(C166,mda_last_round!E:E,0)),"NA")</f>
        <v>55559</v>
      </c>
      <c r="H166" s="3">
        <f t="array" ref="H166">IFERROR(INDEX(immuization!E:E,MATCH(C166,immuization!C:C,0)),"NA")</f>
        <v>93085</v>
      </c>
    </row>
    <row r="167">
      <c r="A167" s="1" t="s">
        <v>305</v>
      </c>
      <c r="B167" s="1" t="s">
        <v>344</v>
      </c>
      <c r="C167" s="1" t="s">
        <v>345</v>
      </c>
      <c r="D167" s="3">
        <f t="array" ref="D167">IFERROR(INDEX(ie_records!D:D,MATCH(C167,ie_records!C:C,0)),"NA")</f>
        <v>55353</v>
      </c>
      <c r="E167" s="3" t="str">
        <f t="array" ref="E167">IFERROR(INDEX(enumeration_kad_bau_ada_gombe_y!D:D,MATCH(C167,enumeration_kad_bau_ada_gombe_y!B:B,0)),"NA")</f>
        <v>NA</v>
      </c>
      <c r="F167" s="3">
        <f t="array" ref="F167">IFERROR(INDEX(world_pop!G:G,MATCH(C167,world_pop!F:F,0)),"NA")</f>
        <v>57796</v>
      </c>
      <c r="G167" s="3">
        <f t="array" ref="G167">IFERROR(INDEX(mda_last_round!C:C,MATCH(C167,mda_last_round!E:E,0)),"NA")</f>
        <v>58808</v>
      </c>
      <c r="H167" s="3">
        <f t="array" ref="H167">IFERROR(INDEX(immuization!E:E,MATCH(C167,immuization!C:C,0)),"NA")</f>
        <v>72371</v>
      </c>
    </row>
    <row r="168">
      <c r="A168" s="1" t="s">
        <v>305</v>
      </c>
      <c r="B168" s="1" t="s">
        <v>305</v>
      </c>
      <c r="C168" s="1" t="s">
        <v>346</v>
      </c>
      <c r="D168" s="3">
        <f t="array" ref="D168">IFERROR(INDEX(ie_records!D:D,MATCH(C168,ie_records!C:C,0)),"NA")</f>
        <v>88113</v>
      </c>
      <c r="E168" s="3" t="str">
        <f t="array" ref="E168">IFERROR(INDEX(enumeration_kad_bau_ada_gombe_y!D:D,MATCH(C168,enumeration_kad_bau_ada_gombe_y!B:B,0)),"NA")</f>
        <v>NA</v>
      </c>
      <c r="F168" s="3">
        <f t="array" ref="F168">IFERROR(INDEX(world_pop!G:G,MATCH(C168,world_pop!F:F,0)),"NA")</f>
        <v>135487</v>
      </c>
      <c r="G168" s="3">
        <f t="array" ref="G168">IFERROR(INDEX(mda_last_round!C:C,MATCH(C168,mda_last_round!E:E,0)),"NA")</f>
        <v>82502</v>
      </c>
      <c r="H168" s="3">
        <f t="array" ref="H168">IFERROR(INDEX(immuization!E:E,MATCH(C168,immuization!C:C,0)),"NA")</f>
        <v>189867</v>
      </c>
    </row>
    <row r="169">
      <c r="A169" s="1" t="s">
        <v>305</v>
      </c>
      <c r="B169" s="1" t="s">
        <v>347</v>
      </c>
      <c r="C169" s="1" t="s">
        <v>348</v>
      </c>
      <c r="D169" s="3">
        <f t="array" ref="D169">IFERROR(INDEX(ie_records!D:D,MATCH(C169,ie_records!C:C,0)),"NA")</f>
        <v>35667</v>
      </c>
      <c r="E169" s="3" t="str">
        <f t="array" ref="E169">IFERROR(INDEX(enumeration_kad_bau_ada_gombe_y!D:D,MATCH(C169,enumeration_kad_bau_ada_gombe_y!B:B,0)),"NA")</f>
        <v>NA</v>
      </c>
      <c r="F169" s="3">
        <f t="array" ref="F169">IFERROR(INDEX(world_pop!G:G,MATCH(C169,world_pop!F:F,0)),"NA")</f>
        <v>43366</v>
      </c>
      <c r="G169" s="3">
        <f t="array" ref="G169">IFERROR(INDEX(mda_last_round!C:C,MATCH(C169,mda_last_round!E:E,0)),"NA")</f>
        <v>48283</v>
      </c>
      <c r="H169" s="3">
        <f t="array" ref="H169">IFERROR(INDEX(immuization!E:E,MATCH(C169,immuization!C:C,0)),"NA")</f>
        <v>58042</v>
      </c>
    </row>
    <row r="170">
      <c r="A170" s="1" t="s">
        <v>305</v>
      </c>
      <c r="B170" s="1" t="s">
        <v>349</v>
      </c>
      <c r="C170" s="1" t="s">
        <v>350</v>
      </c>
      <c r="D170" s="3">
        <f t="array" ref="D170">IFERROR(INDEX(ie_records!D:D,MATCH(C170,ie_records!C:C,0)),"NA")</f>
        <v>35616</v>
      </c>
      <c r="E170" s="3" t="str">
        <f t="array" ref="E170">IFERROR(INDEX(enumeration_kad_bau_ada_gombe_y!D:D,MATCH(C170,enumeration_kad_bau_ada_gombe_y!B:B,0)),"NA")</f>
        <v>NA</v>
      </c>
      <c r="F170" s="3">
        <f t="array" ref="F170">IFERROR(INDEX(world_pop!G:G,MATCH(C170,world_pop!F:F,0)),"NA")</f>
        <v>39060</v>
      </c>
      <c r="G170" s="3">
        <f t="array" ref="G170">IFERROR(INDEX(mda_last_round!C:C,MATCH(C170,mda_last_round!E:E,0)),"NA")</f>
        <v>34704</v>
      </c>
      <c r="H170" s="3">
        <f t="array" ref="H170">IFERROR(INDEX(immuization!E:E,MATCH(C170,immuization!C:C,0)),"NA")</f>
        <v>36993</v>
      </c>
    </row>
    <row r="171">
      <c r="A171" s="1" t="s">
        <v>305</v>
      </c>
      <c r="B171" s="1" t="s">
        <v>351</v>
      </c>
      <c r="C171" s="1" t="s">
        <v>352</v>
      </c>
      <c r="D171" s="3">
        <f t="array" ref="D171">IFERROR(INDEX(ie_records!D:D,MATCH(C171,ie_records!C:C,0)),"NA")</f>
        <v>35154</v>
      </c>
      <c r="E171" s="3" t="str">
        <f t="array" ref="E171">IFERROR(INDEX(enumeration_kad_bau_ada_gombe_y!D:D,MATCH(C171,enumeration_kad_bau_ada_gombe_y!B:B,0)),"NA")</f>
        <v>NA</v>
      </c>
      <c r="F171" s="3">
        <f t="array" ref="F171">IFERROR(INDEX(world_pop!G:G,MATCH(C171,world_pop!F:F,0)),"NA")</f>
        <v>69384</v>
      </c>
      <c r="G171" s="3">
        <f t="array" ref="G171">IFERROR(INDEX(mda_last_round!C:C,MATCH(C171,mda_last_round!E:E,0)),"NA")</f>
        <v>40564</v>
      </c>
      <c r="H171" s="3">
        <f t="array" ref="H171">IFERROR(INDEX(immuization!E:E,MATCH(C171,immuization!C:C,0)),"NA")</f>
        <v>68708</v>
      </c>
    </row>
    <row r="172">
      <c r="A172" s="1" t="s">
        <v>305</v>
      </c>
      <c r="B172" s="1" t="s">
        <v>353</v>
      </c>
      <c r="C172" s="1" t="s">
        <v>354</v>
      </c>
      <c r="D172" s="3">
        <f t="array" ref="D172">IFERROR(INDEX(ie_records!D:D,MATCH(C172,ie_records!C:C,0)),"NA")</f>
        <v>72215</v>
      </c>
      <c r="E172" s="3" t="str">
        <f t="array" ref="E172">IFERROR(INDEX(enumeration_kad_bau_ada_gombe_y!D:D,MATCH(C172,enumeration_kad_bau_ada_gombe_y!B:B,0)),"NA")</f>
        <v>NA</v>
      </c>
      <c r="F172" s="3">
        <f t="array" ref="F172">IFERROR(INDEX(world_pop!G:G,MATCH(C172,world_pop!F:F,0)),"NA")</f>
        <v>82623</v>
      </c>
      <c r="G172" s="3">
        <f t="array" ref="G172">IFERROR(INDEX(mda_last_round!C:C,MATCH(C172,mda_last_round!E:E,0)),"NA")</f>
        <v>66155</v>
      </c>
      <c r="H172" s="3">
        <f t="array" ref="H172">IFERROR(INDEX(immuization!E:E,MATCH(C172,immuization!C:C,0)),"NA")</f>
        <v>121392</v>
      </c>
    </row>
    <row r="173">
      <c r="A173" s="1" t="s">
        <v>305</v>
      </c>
      <c r="B173" s="1" t="s">
        <v>355</v>
      </c>
      <c r="C173" s="1" t="s">
        <v>356</v>
      </c>
      <c r="D173" s="3">
        <f t="array" ref="D173">IFERROR(INDEX(ie_records!D:D,MATCH(C173,ie_records!C:C,0)),"NA")</f>
        <v>56021</v>
      </c>
      <c r="E173" s="3" t="str">
        <f t="array" ref="E173">IFERROR(INDEX(enumeration_kad_bau_ada_gombe_y!D:D,MATCH(C173,enumeration_kad_bau_ada_gombe_y!B:B,0)),"NA")</f>
        <v>NA</v>
      </c>
      <c r="F173" s="3">
        <f t="array" ref="F173">IFERROR(INDEX(world_pop!G:G,MATCH(C173,world_pop!F:F,0)),"NA")</f>
        <v>72900</v>
      </c>
      <c r="G173" s="3">
        <f t="array" ref="G173">IFERROR(INDEX(mda_last_round!C:C,MATCH(C173,mda_last_round!E:E,0)),"NA")</f>
        <v>74794</v>
      </c>
      <c r="H173" s="3">
        <f t="array" ref="H173">IFERROR(INDEX(immuization!E:E,MATCH(C173,immuization!C:C,0)),"NA")</f>
        <v>83284</v>
      </c>
    </row>
    <row r="174">
      <c r="A174" s="1" t="s">
        <v>305</v>
      </c>
      <c r="B174" s="1" t="s">
        <v>357</v>
      </c>
      <c r="C174" s="1" t="s">
        <v>358</v>
      </c>
      <c r="D174" s="3">
        <f t="array" ref="D174">IFERROR(INDEX(ie_records!D:D,MATCH(C174,ie_records!C:C,0)),"NA")</f>
        <v>53020</v>
      </c>
      <c r="E174" s="3" t="str">
        <f t="array" ref="E174">IFERROR(INDEX(enumeration_kad_bau_ada_gombe_y!D:D,MATCH(C174,enumeration_kad_bau_ada_gombe_y!B:B,0)),"NA")</f>
        <v>NA</v>
      </c>
      <c r="F174" s="3">
        <f t="array" ref="F174">IFERROR(INDEX(world_pop!G:G,MATCH(C174,world_pop!F:F,0)),"NA")</f>
        <v>71327</v>
      </c>
      <c r="G174" s="3">
        <f t="array" ref="G174">IFERROR(INDEX(mda_last_round!C:C,MATCH(C174,mda_last_round!E:E,0)),"NA")</f>
        <v>0</v>
      </c>
      <c r="H174" s="3">
        <f t="array" ref="H174">IFERROR(INDEX(immuization!E:E,MATCH(C174,immuization!C:C,0)),"NA")</f>
        <v>86268</v>
      </c>
    </row>
    <row r="175">
      <c r="A175" s="1" t="s">
        <v>305</v>
      </c>
      <c r="B175" s="1" t="s">
        <v>359</v>
      </c>
      <c r="C175" s="1" t="s">
        <v>360</v>
      </c>
      <c r="D175" s="3">
        <f t="array" ref="D175">IFERROR(INDEX(ie_records!D:D,MATCH(C175,ie_records!C:C,0)),"NA")</f>
        <v>33236</v>
      </c>
      <c r="E175" s="3" t="str">
        <f t="array" ref="E175">IFERROR(INDEX(enumeration_kad_bau_ada_gombe_y!D:D,MATCH(C175,enumeration_kad_bau_ada_gombe_y!B:B,0)),"NA")</f>
        <v>NA</v>
      </c>
      <c r="F175" s="3">
        <f t="array" ref="F175">IFERROR(INDEX(world_pop!G:G,MATCH(C175,world_pop!F:F,0)),"NA")</f>
        <v>34226</v>
      </c>
      <c r="G175" s="3">
        <f t="array" ref="G175">IFERROR(INDEX(mda_last_round!C:C,MATCH(C175,mda_last_round!E:E,0)),"NA")</f>
        <v>22414</v>
      </c>
      <c r="H175" s="3">
        <f t="array" ref="H175">IFERROR(INDEX(immuization!E:E,MATCH(C175,immuization!C:C,0)),"NA")</f>
        <v>43985</v>
      </c>
    </row>
    <row r="176">
      <c r="A176" s="1" t="s">
        <v>305</v>
      </c>
      <c r="B176" s="1" t="s">
        <v>361</v>
      </c>
      <c r="C176" s="1" t="s">
        <v>362</v>
      </c>
      <c r="D176" s="3">
        <f t="array" ref="D176">IFERROR(INDEX(ie_records!D:D,MATCH(C176,ie_records!C:C,0)),"NA")</f>
        <v>43897</v>
      </c>
      <c r="E176" s="3" t="str">
        <f t="array" ref="E176">IFERROR(INDEX(enumeration_kad_bau_ada_gombe_y!D:D,MATCH(C176,enumeration_kad_bau_ada_gombe_y!B:B,0)),"NA")</f>
        <v>NA</v>
      </c>
      <c r="F176" s="3">
        <f t="array" ref="F176">IFERROR(INDEX(world_pop!G:G,MATCH(C176,world_pop!F:F,0)),"NA")</f>
        <v>54037</v>
      </c>
      <c r="G176" s="3">
        <f t="array" ref="G176">IFERROR(INDEX(mda_last_round!C:C,MATCH(C176,mda_last_round!E:E,0)),"NA")</f>
        <v>44773</v>
      </c>
      <c r="H176" s="3">
        <f t="array" ref="H176">IFERROR(INDEX(immuization!E:E,MATCH(C176,immuization!C:C,0)),"NA")</f>
        <v>60778</v>
      </c>
    </row>
    <row r="177">
      <c r="A177" s="1" t="s">
        <v>305</v>
      </c>
      <c r="B177" s="1" t="s">
        <v>363</v>
      </c>
      <c r="C177" s="1" t="s">
        <v>364</v>
      </c>
      <c r="D177" s="3">
        <f t="array" ref="D177">IFERROR(INDEX(ie_records!D:D,MATCH(C177,ie_records!C:C,0)),"NA")</f>
        <v>50143</v>
      </c>
      <c r="E177" s="3" t="str">
        <f t="array" ref="E177">IFERROR(INDEX(enumeration_kad_bau_ada_gombe_y!D:D,MATCH(C177,enumeration_kad_bau_ada_gombe_y!B:B,0)),"NA")</f>
        <v>NA</v>
      </c>
      <c r="F177" s="3">
        <f t="array" ref="F177">IFERROR(INDEX(world_pop!G:G,MATCH(C177,world_pop!F:F,0)),"NA")</f>
        <v>60652</v>
      </c>
      <c r="G177" s="3">
        <f t="array" ref="G177">IFERROR(INDEX(mda_last_round!C:C,MATCH(C177,mda_last_round!E:E,0)),"NA")</f>
        <v>54359</v>
      </c>
      <c r="H177" s="3">
        <f t="array" ref="H177">IFERROR(INDEX(immuization!E:E,MATCH(C177,immuization!C:C,0)),"NA")</f>
        <v>75542</v>
      </c>
    </row>
    <row r="178">
      <c r="A178" s="1" t="s">
        <v>305</v>
      </c>
      <c r="B178" s="1" t="s">
        <v>365</v>
      </c>
      <c r="C178" s="1" t="s">
        <v>366</v>
      </c>
      <c r="D178" s="3">
        <f t="array" ref="D178">IFERROR(INDEX(ie_records!D:D,MATCH(C178,ie_records!C:C,0)),"NA")</f>
        <v>41942</v>
      </c>
      <c r="E178" s="3" t="str">
        <f t="array" ref="E178">IFERROR(INDEX(enumeration_kad_bau_ada_gombe_y!D:D,MATCH(C178,enumeration_kad_bau_ada_gombe_y!B:B,0)),"NA")</f>
        <v>NA</v>
      </c>
      <c r="F178" s="3">
        <f t="array" ref="F178">IFERROR(INDEX(world_pop!G:G,MATCH(C178,world_pop!F:F,0)),"NA")</f>
        <v>37278</v>
      </c>
      <c r="G178" s="3">
        <f t="array" ref="G178">IFERROR(INDEX(mda_last_round!C:C,MATCH(C178,mda_last_round!E:E,0)),"NA")</f>
        <v>46598</v>
      </c>
      <c r="H178" s="3">
        <f t="array" ref="H178">IFERROR(INDEX(immuization!E:E,MATCH(C178,immuization!C:C,0)),"NA")</f>
        <v>51828</v>
      </c>
    </row>
    <row r="179">
      <c r="A179" s="1" t="s">
        <v>305</v>
      </c>
      <c r="B179" s="1" t="s">
        <v>367</v>
      </c>
      <c r="C179" s="1" t="s">
        <v>368</v>
      </c>
      <c r="D179" s="3">
        <f t="array" ref="D179">IFERROR(INDEX(ie_records!D:D,MATCH(C179,ie_records!C:C,0)),"NA")</f>
        <v>58722</v>
      </c>
      <c r="E179" s="3" t="str">
        <f t="array" ref="E179">IFERROR(INDEX(enumeration_kad_bau_ada_gombe_y!D:D,MATCH(C179,enumeration_kad_bau_ada_gombe_y!B:B,0)),"NA")</f>
        <v>NA</v>
      </c>
      <c r="F179" s="3">
        <f t="array" ref="F179">IFERROR(INDEX(world_pop!G:G,MATCH(C179,world_pop!F:F,0)),"NA")</f>
        <v>52132</v>
      </c>
      <c r="G179" s="3">
        <f t="array" ref="G179">IFERROR(INDEX(mda_last_round!C:C,MATCH(C179,mda_last_round!E:E,0)),"NA")</f>
        <v>48663</v>
      </c>
      <c r="H179" s="3">
        <f t="array" ref="H179">IFERROR(INDEX(immuization!E:E,MATCH(C179,immuization!C:C,0)),"NA")</f>
        <v>71220</v>
      </c>
    </row>
    <row r="180">
      <c r="A180" s="1" t="s">
        <v>305</v>
      </c>
      <c r="B180" s="1" t="s">
        <v>369</v>
      </c>
      <c r="C180" s="1" t="s">
        <v>370</v>
      </c>
      <c r="D180" s="3">
        <f t="array" ref="D180">IFERROR(INDEX(ie_records!D:D,MATCH(C180,ie_records!C:C,0)),"NA")</f>
        <v>33599</v>
      </c>
      <c r="E180" s="3" t="str">
        <f t="array" ref="E180">IFERROR(INDEX(enumeration_kad_bau_ada_gombe_y!D:D,MATCH(C180,enumeration_kad_bau_ada_gombe_y!B:B,0)),"NA")</f>
        <v>NA</v>
      </c>
      <c r="F180" s="3">
        <f t="array" ref="F180">IFERROR(INDEX(world_pop!G:G,MATCH(C180,world_pop!F:F,0)),"NA")</f>
        <v>48638</v>
      </c>
      <c r="G180" s="3">
        <f t="array" ref="G180">IFERROR(INDEX(mda_last_round!C:C,MATCH(C180,mda_last_round!E:E,0)),"NA")</f>
        <v>48375</v>
      </c>
      <c r="H180" s="3">
        <f t="array" ref="H180">IFERROR(INDEX(immuization!E:E,MATCH(C180,immuization!C:C,0)),"NA")</f>
        <v>47572</v>
      </c>
    </row>
    <row r="181">
      <c r="A181" s="1" t="s">
        <v>305</v>
      </c>
      <c r="B181" s="1" t="s">
        <v>371</v>
      </c>
      <c r="C181" s="1" t="s">
        <v>372</v>
      </c>
      <c r="D181" s="3">
        <f t="array" ref="D181">IFERROR(INDEX(ie_records!D:D,MATCH(C181,ie_records!C:C,0)),"NA")</f>
        <v>35269</v>
      </c>
      <c r="E181" s="3" t="str">
        <f t="array" ref="E181">IFERROR(INDEX(enumeration_kad_bau_ada_gombe_y!D:D,MATCH(C181,enumeration_kad_bau_ada_gombe_y!B:B,0)),"NA")</f>
        <v>NA</v>
      </c>
      <c r="F181" s="3">
        <f t="array" ref="F181">IFERROR(INDEX(world_pop!G:G,MATCH(C181,world_pop!F:F,0)),"NA")</f>
        <v>59774</v>
      </c>
      <c r="G181" s="3">
        <f t="array" ref="G181">IFERROR(INDEX(mda_last_round!C:C,MATCH(C181,mda_last_round!E:E,0)),"NA")</f>
        <v>52531</v>
      </c>
      <c r="H181" s="3">
        <f t="array" ref="H181">IFERROR(INDEX(immuization!E:E,MATCH(C181,immuization!C:C,0)),"NA")</f>
        <v>41289</v>
      </c>
    </row>
    <row r="182">
      <c r="A182" s="1" t="s">
        <v>373</v>
      </c>
      <c r="B182" s="1" t="s">
        <v>374</v>
      </c>
      <c r="C182" s="1" t="s">
        <v>375</v>
      </c>
      <c r="D182" s="3">
        <f t="array" ref="D182">IFERROR(INDEX(ie_records!D:D,MATCH(C182,ie_records!C:C,0)),"NA")</f>
        <v>30931</v>
      </c>
      <c r="E182" s="3" t="str">
        <f t="array" ref="E182">IFERROR(INDEX(enumeration_kad_bau_ada_gombe_y!D:D,MATCH(C182,enumeration_kad_bau_ada_gombe_y!B:B,0)),"NA")</f>
        <v>NA</v>
      </c>
      <c r="F182" s="3">
        <f t="array" ref="F182">IFERROR(INDEX(world_pop!G:G,MATCH(C182,world_pop!F:F,0)),"NA")</f>
        <v>12450</v>
      </c>
      <c r="G182" s="3">
        <f t="array" ref="G182">IFERROR(INDEX(mda_last_round!C:C,MATCH(C182,mda_last_round!E:E,0)),"NA")</f>
        <v>23737</v>
      </c>
      <c r="H182" s="3">
        <f t="array" ref="H182">IFERROR(INDEX(immuization!E:E,MATCH(C182,immuization!C:C,0)),"NA")</f>
        <v>73432</v>
      </c>
    </row>
    <row r="183">
      <c r="A183" s="1" t="s">
        <v>373</v>
      </c>
      <c r="B183" s="1" t="s">
        <v>376</v>
      </c>
      <c r="C183" s="1" t="s">
        <v>377</v>
      </c>
      <c r="D183" s="3">
        <f t="array" ref="D183">IFERROR(INDEX(ie_records!D:D,MATCH(C183,ie_records!C:C,0)),"NA")</f>
        <v>36388</v>
      </c>
      <c r="E183" s="3" t="str">
        <f t="array" ref="E183">IFERROR(INDEX(enumeration_kad_bau_ada_gombe_y!D:D,MATCH(C183,enumeration_kad_bau_ada_gombe_y!B:B,0)),"NA")</f>
        <v>NA</v>
      </c>
      <c r="F183" s="3">
        <f t="array" ref="F183">IFERROR(INDEX(world_pop!G:G,MATCH(C183,world_pop!F:F,0)),"NA")</f>
        <v>38408</v>
      </c>
      <c r="G183" s="3">
        <f t="array" ref="G183">IFERROR(INDEX(mda_last_round!C:C,MATCH(C183,mda_last_round!E:E,0)),"NA")</f>
        <v>59929</v>
      </c>
      <c r="H183" s="3">
        <f t="array" ref="H183">IFERROR(INDEX(immuization!E:E,MATCH(C183,immuization!C:C,0)),"NA")</f>
        <v>169419</v>
      </c>
    </row>
    <row r="184">
      <c r="A184" s="1" t="s">
        <v>373</v>
      </c>
      <c r="B184" s="1" t="s">
        <v>378</v>
      </c>
      <c r="C184" s="1" t="s">
        <v>379</v>
      </c>
      <c r="D184" s="3">
        <f t="array" ref="D184">IFERROR(INDEX(ie_records!D:D,MATCH(C184,ie_records!C:C,0)),"NA")</f>
        <v>63687</v>
      </c>
      <c r="E184" s="3" t="str">
        <f t="array" ref="E184">IFERROR(INDEX(enumeration_kad_bau_ada_gombe_y!D:D,MATCH(C184,enumeration_kad_bau_ada_gombe_y!B:B,0)),"NA")</f>
        <v>NA</v>
      </c>
      <c r="F184" s="3">
        <f t="array" ref="F184">IFERROR(INDEX(world_pop!G:G,MATCH(C184,world_pop!F:F,0)),"NA")</f>
        <v>40051</v>
      </c>
      <c r="G184" s="3">
        <f t="array" ref="G184">IFERROR(INDEX(mda_last_round!C:C,MATCH(C184,mda_last_round!E:E,0)),"NA")</f>
        <v>62506</v>
      </c>
      <c r="H184" s="3">
        <f t="array" ref="H184">IFERROR(INDEX(immuization!E:E,MATCH(C184,immuization!C:C,0)),"NA")</f>
        <v>174788</v>
      </c>
    </row>
    <row r="185">
      <c r="A185" s="1" t="s">
        <v>373</v>
      </c>
      <c r="B185" s="1" t="s">
        <v>380</v>
      </c>
      <c r="C185" s="1" t="s">
        <v>381</v>
      </c>
      <c r="D185" s="3">
        <f t="array" ref="D185">IFERROR(INDEX(ie_records!D:D,MATCH(C185,ie_records!C:C,0)),"NA")</f>
        <v>32597</v>
      </c>
      <c r="E185" s="3" t="str">
        <f t="array" ref="E185">IFERROR(INDEX(enumeration_kad_bau_ada_gombe_y!D:D,MATCH(C185,enumeration_kad_bau_ada_gombe_y!B:B,0)),"NA")</f>
        <v>NA</v>
      </c>
      <c r="F185" s="3">
        <f t="array" ref="F185">IFERROR(INDEX(world_pop!G:G,MATCH(C185,world_pop!F:F,0)),"NA")</f>
        <v>22724</v>
      </c>
      <c r="G185" s="3">
        <f t="array" ref="G185">IFERROR(INDEX(mda_last_round!C:C,MATCH(C185,mda_last_round!E:E,0)),"NA")</f>
        <v>0</v>
      </c>
      <c r="H185" s="3">
        <f t="array" ref="H185">IFERROR(INDEX(immuization!E:E,MATCH(C185,immuization!C:C,0)),"NA")</f>
        <v>90927</v>
      </c>
    </row>
    <row r="186">
      <c r="A186" s="1" t="s">
        <v>373</v>
      </c>
      <c r="B186" s="1" t="s">
        <v>382</v>
      </c>
      <c r="C186" s="1" t="s">
        <v>383</v>
      </c>
      <c r="D186" s="3">
        <f t="array" ref="D186">IFERROR(INDEX(ie_records!D:D,MATCH(C186,ie_records!C:C,0)),"NA")</f>
        <v>66909</v>
      </c>
      <c r="E186" s="3" t="str">
        <f t="array" ref="E186">IFERROR(INDEX(enumeration_kad_bau_ada_gombe_y!D:D,MATCH(C186,enumeration_kad_bau_ada_gombe_y!B:B,0)),"NA")</f>
        <v>NA</v>
      </c>
      <c r="F186" s="3">
        <f t="array" ref="F186">IFERROR(INDEX(world_pop!G:G,MATCH(C186,world_pop!F:F,0)),"NA")</f>
        <v>66317</v>
      </c>
      <c r="G186" s="3">
        <f t="array" ref="G186">IFERROR(INDEX(mda_last_round!C:C,MATCH(C186,mda_last_round!E:E,0)),"NA")</f>
        <v>102846</v>
      </c>
      <c r="H186" s="3">
        <f t="array" ref="H186">IFERROR(INDEX(immuization!E:E,MATCH(C186,immuization!C:C,0)),"NA")</f>
        <v>168241</v>
      </c>
    </row>
    <row r="187">
      <c r="A187" s="1" t="s">
        <v>373</v>
      </c>
      <c r="B187" s="1" t="s">
        <v>384</v>
      </c>
      <c r="C187" s="1" t="s">
        <v>385</v>
      </c>
      <c r="D187" s="3">
        <f t="array" ref="D187">IFERROR(INDEX(ie_records!D:D,MATCH(C187,ie_records!C:C,0)),"NA")</f>
        <v>85620</v>
      </c>
      <c r="E187" s="3" t="str">
        <f t="array" ref="E187">IFERROR(INDEX(enumeration_kad_bau_ada_gombe_y!D:D,MATCH(C187,enumeration_kad_bau_ada_gombe_y!B:B,0)),"NA")</f>
        <v>NA</v>
      </c>
      <c r="F187" s="3">
        <f t="array" ref="F187">IFERROR(INDEX(world_pop!G:G,MATCH(C187,world_pop!F:F,0)),"NA")</f>
        <v>71426</v>
      </c>
      <c r="G187" s="3">
        <f t="array" ref="G187">IFERROR(INDEX(mda_last_round!C:C,MATCH(C187,mda_last_round!E:E,0)),"NA")</f>
        <v>92735</v>
      </c>
      <c r="H187" s="3">
        <f t="array" ref="H187">IFERROR(INDEX(immuization!E:E,MATCH(C187,immuization!C:C,0)),"NA")</f>
        <v>199413</v>
      </c>
    </row>
    <row r="188">
      <c r="A188" s="1" t="s">
        <v>373</v>
      </c>
      <c r="B188" s="1" t="s">
        <v>386</v>
      </c>
      <c r="C188" s="1" t="s">
        <v>387</v>
      </c>
      <c r="D188" s="3">
        <f t="array" ref="D188">IFERROR(INDEX(ie_records!D:D,MATCH(C188,ie_records!C:C,0)),"NA")</f>
        <v>39458</v>
      </c>
      <c r="E188" s="3" t="str">
        <f t="array" ref="E188">IFERROR(INDEX(enumeration_kad_bau_ada_gombe_y!D:D,MATCH(C188,enumeration_kad_bau_ada_gombe_y!B:B,0)),"NA")</f>
        <v>NA</v>
      </c>
      <c r="F188" s="3">
        <f t="array" ref="F188">IFERROR(INDEX(world_pop!G:G,MATCH(C188,world_pop!F:F,0)),"NA")</f>
        <v>25866</v>
      </c>
      <c r="G188" s="3">
        <f t="array" ref="G188">IFERROR(INDEX(mda_last_round!C:C,MATCH(C188,mda_last_round!E:E,0)),"NA")</f>
        <v>60854</v>
      </c>
      <c r="H188" s="3">
        <f t="array" ref="H188">IFERROR(INDEX(immuization!E:E,MATCH(C188,immuization!C:C,0)),"NA")</f>
        <v>103201</v>
      </c>
    </row>
    <row r="189">
      <c r="A189" s="1" t="s">
        <v>373</v>
      </c>
      <c r="B189" s="1" t="s">
        <v>388</v>
      </c>
      <c r="C189" s="1" t="s">
        <v>389</v>
      </c>
      <c r="D189" s="3">
        <f t="array" ref="D189">IFERROR(INDEX(ie_records!D:D,MATCH(C189,ie_records!C:C,0)),"NA")</f>
        <v>45668</v>
      </c>
      <c r="E189" s="3" t="str">
        <f t="array" ref="E189">IFERROR(INDEX(enumeration_kad_bau_ada_gombe_y!D:D,MATCH(C189,enumeration_kad_bau_ada_gombe_y!B:B,0)),"NA")</f>
        <v>NA</v>
      </c>
      <c r="F189" s="3">
        <f t="array" ref="F189">IFERROR(INDEX(world_pop!G:G,MATCH(C189,world_pop!F:F,0)),"NA")</f>
        <v>25682</v>
      </c>
      <c r="G189" s="3">
        <f t="array" ref="G189">IFERROR(INDEX(mda_last_round!C:C,MATCH(C189,mda_last_round!E:E,0)),"NA")</f>
        <v>46088</v>
      </c>
      <c r="H189" s="3">
        <f t="array" ref="H189">IFERROR(INDEX(immuization!E:E,MATCH(C189,immuization!C:C,0)),"NA")</f>
        <v>122724</v>
      </c>
    </row>
    <row r="190">
      <c r="A190" s="1" t="s">
        <v>373</v>
      </c>
      <c r="B190" s="1" t="s">
        <v>390</v>
      </c>
      <c r="C190" s="1" t="s">
        <v>391</v>
      </c>
      <c r="D190" s="3">
        <f t="array" ref="D190">IFERROR(INDEX(ie_records!D:D,MATCH(C190,ie_records!C:C,0)),"NA")</f>
        <v>31690</v>
      </c>
      <c r="E190" s="3" t="str">
        <f t="array" ref="E190">IFERROR(INDEX(enumeration_kad_bau_ada_gombe_y!D:D,MATCH(C190,enumeration_kad_bau_ada_gombe_y!B:B,0)),"NA")</f>
        <v>NA</v>
      </c>
      <c r="F190" s="3">
        <f t="array" ref="F190">IFERROR(INDEX(world_pop!G:G,MATCH(C190,world_pop!F:F,0)),"NA")</f>
        <v>25473</v>
      </c>
      <c r="G190" s="3">
        <f t="array" ref="G190">IFERROR(INDEX(mda_last_round!C:C,MATCH(C190,mda_last_round!E:E,0)),"NA")</f>
        <v>50893</v>
      </c>
      <c r="H190" s="3">
        <f t="array" ref="H190">IFERROR(INDEX(immuization!E:E,MATCH(C190,immuization!C:C,0)),"NA")</f>
        <v>94722</v>
      </c>
    </row>
    <row r="191">
      <c r="A191" s="1" t="s">
        <v>373</v>
      </c>
      <c r="B191" s="1" t="s">
        <v>392</v>
      </c>
      <c r="C191" s="1" t="s">
        <v>393</v>
      </c>
      <c r="D191" s="3">
        <f t="array" ref="D191">IFERROR(INDEX(ie_records!D:D,MATCH(C191,ie_records!C:C,0)),"NA")</f>
        <v>49395</v>
      </c>
      <c r="E191" s="3" t="str">
        <f t="array" ref="E191">IFERROR(INDEX(enumeration_kad_bau_ada_gombe_y!D:D,MATCH(C191,enumeration_kad_bau_ada_gombe_y!B:B,0)),"NA")</f>
        <v>NA</v>
      </c>
      <c r="F191" s="3">
        <f t="array" ref="F191">IFERROR(INDEX(world_pop!G:G,MATCH(C191,world_pop!F:F,0)),"NA")</f>
        <v>31792</v>
      </c>
      <c r="G191" s="3">
        <f t="array" ref="G191">IFERROR(INDEX(mda_last_round!C:C,MATCH(C191,mda_last_round!E:E,0)),"NA")</f>
        <v>50931</v>
      </c>
      <c r="H191" s="3">
        <f t="array" ref="H191">IFERROR(INDEX(immuization!E:E,MATCH(C191,immuization!C:C,0)),"NA")</f>
        <v>116142</v>
      </c>
    </row>
    <row r="192">
      <c r="A192" s="1" t="s">
        <v>373</v>
      </c>
      <c r="B192" s="1" t="s">
        <v>394</v>
      </c>
      <c r="C192" s="1" t="s">
        <v>395</v>
      </c>
      <c r="D192" s="3">
        <f t="array" ref="D192">IFERROR(INDEX(ie_records!D:D,MATCH(C192,ie_records!C:C,0)),"NA")</f>
        <v>45786</v>
      </c>
      <c r="E192" s="3" t="str">
        <f t="array" ref="E192">IFERROR(INDEX(enumeration_kad_bau_ada_gombe_y!D:D,MATCH(C192,enumeration_kad_bau_ada_gombe_y!B:B,0)),"NA")</f>
        <v>NA</v>
      </c>
      <c r="F192" s="3">
        <f t="array" ref="F192">IFERROR(INDEX(world_pop!G:G,MATCH(C192,world_pop!F:F,0)),"NA")</f>
        <v>39338</v>
      </c>
      <c r="G192" s="3">
        <f t="array" ref="G192">IFERROR(INDEX(mda_last_round!C:C,MATCH(C192,mda_last_round!E:E,0)),"NA")</f>
        <v>66508</v>
      </c>
      <c r="H192" s="3">
        <f t="array" ref="H192">IFERROR(INDEX(immuization!E:E,MATCH(C192,immuization!C:C,0)),"NA")</f>
        <v>144053</v>
      </c>
    </row>
    <row r="193">
      <c r="A193" s="1" t="s">
        <v>373</v>
      </c>
      <c r="B193" s="1" t="s">
        <v>396</v>
      </c>
      <c r="C193" s="1" t="s">
        <v>397</v>
      </c>
      <c r="D193" s="3">
        <f t="array" ref="D193">IFERROR(INDEX(ie_records!D:D,MATCH(C193,ie_records!C:C,0)),"NA")</f>
        <v>26738</v>
      </c>
      <c r="E193" s="3" t="str">
        <f t="array" ref="E193">IFERROR(INDEX(enumeration_kad_bau_ada_gombe_y!D:D,MATCH(C193,enumeration_kad_bau_ada_gombe_y!B:B,0)),"NA")</f>
        <v>NA</v>
      </c>
      <c r="F193" s="3">
        <f t="array" ref="F193">IFERROR(INDEX(world_pop!G:G,MATCH(C193,world_pop!F:F,0)),"NA")</f>
        <v>18252</v>
      </c>
      <c r="G193" s="3">
        <f t="array" ref="G193">IFERROR(INDEX(mda_last_round!C:C,MATCH(C193,mda_last_round!E:E,0)),"NA")</f>
        <v>32916</v>
      </c>
      <c r="H193" s="3">
        <f t="array" ref="H193">IFERROR(INDEX(immuization!E:E,MATCH(C193,immuization!C:C,0)),"NA")</f>
        <v>76103</v>
      </c>
    </row>
    <row r="194">
      <c r="A194" s="1" t="s">
        <v>373</v>
      </c>
      <c r="B194" s="1" t="s">
        <v>398</v>
      </c>
      <c r="C194" s="1" t="s">
        <v>399</v>
      </c>
      <c r="D194" s="3">
        <f t="array" ref="D194">IFERROR(INDEX(ie_records!D:D,MATCH(C194,ie_records!C:C,0)),"NA")</f>
        <v>71547</v>
      </c>
      <c r="E194" s="3" t="str">
        <f t="array" ref="E194">IFERROR(INDEX(enumeration_kad_bau_ada_gombe_y!D:D,MATCH(C194,enumeration_kad_bau_ada_gombe_y!B:B,0)),"NA")</f>
        <v>NA</v>
      </c>
      <c r="F194" s="3">
        <f t="array" ref="F194">IFERROR(INDEX(world_pop!G:G,MATCH(C194,world_pop!F:F,0)),"NA")</f>
        <v>33589</v>
      </c>
      <c r="G194" s="3">
        <f t="array" ref="G194">IFERROR(INDEX(mda_last_round!C:C,MATCH(C194,mda_last_round!E:E,0)),"NA")</f>
        <v>53854</v>
      </c>
      <c r="H194" s="3">
        <f t="array" ref="H194">IFERROR(INDEX(immuization!E:E,MATCH(C194,immuization!C:C,0)),"NA")</f>
        <v>142851</v>
      </c>
    </row>
    <row r="195">
      <c r="A195" s="1" t="s">
        <v>373</v>
      </c>
      <c r="B195" s="1" t="s">
        <v>400</v>
      </c>
      <c r="C195" s="1" t="s">
        <v>401</v>
      </c>
      <c r="D195" s="3">
        <f t="array" ref="D195">IFERROR(INDEX(ie_records!D:D,MATCH(C195,ie_records!C:C,0)),"NA")</f>
        <v>48253</v>
      </c>
      <c r="E195" s="3" t="str">
        <f t="array" ref="E195">IFERROR(INDEX(enumeration_kad_bau_ada_gombe_y!D:D,MATCH(C195,enumeration_kad_bau_ada_gombe_y!B:B,0)),"NA")</f>
        <v>NA</v>
      </c>
      <c r="F195" s="3">
        <f t="array" ref="F195">IFERROR(INDEX(world_pop!G:G,MATCH(C195,world_pop!F:F,0)),"NA")</f>
        <v>32864</v>
      </c>
      <c r="G195" s="3">
        <f t="array" ref="G195">IFERROR(INDEX(mda_last_round!C:C,MATCH(C195,mda_last_round!E:E,0)),"NA")</f>
        <v>64070</v>
      </c>
      <c r="H195" s="3">
        <f t="array" ref="H195">IFERROR(INDEX(immuization!E:E,MATCH(C195,immuization!C:C,0)),"NA")</f>
        <v>122043</v>
      </c>
    </row>
    <row r="196">
      <c r="A196" s="1" t="s">
        <v>373</v>
      </c>
      <c r="B196" s="1" t="s">
        <v>402</v>
      </c>
      <c r="C196" s="1" t="s">
        <v>403</v>
      </c>
      <c r="D196" s="3">
        <f t="array" ref="D196">IFERROR(INDEX(ie_records!D:D,MATCH(C196,ie_records!C:C,0)),"NA")</f>
        <v>35863</v>
      </c>
      <c r="E196" s="3" t="str">
        <f t="array" ref="E196">IFERROR(INDEX(enumeration_kad_bau_ada_gombe_y!D:D,MATCH(C196,enumeration_kad_bau_ada_gombe_y!B:B,0)),"NA")</f>
        <v>NA</v>
      </c>
      <c r="F196" s="3">
        <f t="array" ref="F196">IFERROR(INDEX(world_pop!G:G,MATCH(C196,world_pop!F:F,0)),"NA")</f>
        <v>44381</v>
      </c>
      <c r="G196" s="3">
        <f t="array" ref="G196">IFERROR(INDEX(mda_last_round!C:C,MATCH(C196,mda_last_round!E:E,0)),"NA")</f>
        <v>48731</v>
      </c>
      <c r="H196" s="3">
        <f t="array" ref="H196">IFERROR(INDEX(immuization!E:E,MATCH(C196,immuization!C:C,0)),"NA")</f>
        <v>127448</v>
      </c>
    </row>
    <row r="197">
      <c r="A197" s="1" t="s">
        <v>373</v>
      </c>
      <c r="B197" s="1" t="s">
        <v>404</v>
      </c>
      <c r="C197" s="1" t="s">
        <v>405</v>
      </c>
      <c r="D197" s="3">
        <f t="array" ref="D197">IFERROR(INDEX(ie_records!D:D,MATCH(C197,ie_records!C:C,0)),"NA")</f>
        <v>33421</v>
      </c>
      <c r="E197" s="3" t="str">
        <f t="array" ref="E197">IFERROR(INDEX(enumeration_kad_bau_ada_gombe_y!D:D,MATCH(C197,enumeration_kad_bau_ada_gombe_y!B:B,0)),"NA")</f>
        <v>NA</v>
      </c>
      <c r="F197" s="3">
        <f t="array" ref="F197">IFERROR(INDEX(world_pop!G:G,MATCH(C197,world_pop!F:F,0)),"NA")</f>
        <v>26827</v>
      </c>
      <c r="G197" s="3">
        <f t="array" ref="G197">IFERROR(INDEX(mda_last_round!C:C,MATCH(C197,mda_last_round!E:E,0)),"NA")</f>
        <v>55297</v>
      </c>
      <c r="H197" s="3">
        <f t="array" ref="H197">IFERROR(INDEX(immuization!E:E,MATCH(C197,immuization!C:C,0)),"NA")</f>
        <v>142060</v>
      </c>
    </row>
    <row r="198">
      <c r="A198" s="1" t="s">
        <v>373</v>
      </c>
      <c r="B198" s="1" t="s">
        <v>406</v>
      </c>
      <c r="C198" s="1" t="s">
        <v>407</v>
      </c>
      <c r="D198" s="3">
        <f t="array" ref="D198">IFERROR(INDEX(ie_records!D:D,MATCH(C198,ie_records!C:C,0)),"NA")</f>
        <v>48334</v>
      </c>
      <c r="E198" s="3" t="str">
        <f t="array" ref="E198">IFERROR(INDEX(enumeration_kad_bau_ada_gombe_y!D:D,MATCH(C198,enumeration_kad_bau_ada_gombe_y!B:B,0)),"NA")</f>
        <v>NA</v>
      </c>
      <c r="F198" s="3">
        <f t="array" ref="F198">IFERROR(INDEX(world_pop!G:G,MATCH(C198,world_pop!F:F,0)),"NA")</f>
        <v>39406</v>
      </c>
      <c r="G198" s="3">
        <f t="array" ref="G198">IFERROR(INDEX(mda_last_round!C:C,MATCH(C198,mda_last_round!E:E,0)),"NA")</f>
        <v>57787</v>
      </c>
      <c r="H198" s="3">
        <f t="array" ref="H198">IFERROR(INDEX(immuization!E:E,MATCH(C198,immuization!C:C,0)),"NA")</f>
        <v>145891</v>
      </c>
    </row>
    <row r="199">
      <c r="A199" s="1" t="s">
        <v>373</v>
      </c>
      <c r="B199" s="1" t="s">
        <v>408</v>
      </c>
      <c r="C199" s="1" t="s">
        <v>409</v>
      </c>
      <c r="D199" s="3">
        <f t="array" ref="D199">IFERROR(INDEX(ie_records!D:D,MATCH(C199,ie_records!C:C,0)),"NA")</f>
        <v>38689</v>
      </c>
      <c r="E199" s="3" t="str">
        <f t="array" ref="E199">IFERROR(INDEX(enumeration_kad_bau_ada_gombe_y!D:D,MATCH(C199,enumeration_kad_bau_ada_gombe_y!B:B,0)),"NA")</f>
        <v>NA</v>
      </c>
      <c r="F199" s="3">
        <f t="array" ref="F199">IFERROR(INDEX(world_pop!G:G,MATCH(C199,world_pop!F:F,0)),"NA")</f>
        <v>31566</v>
      </c>
      <c r="G199" s="3">
        <f t="array" ref="G199">IFERROR(INDEX(mda_last_round!C:C,MATCH(C199,mda_last_round!E:E,0)),"NA")</f>
        <v>53447</v>
      </c>
      <c r="H199" s="3">
        <f t="array" ref="H199">IFERROR(INDEX(immuization!E:E,MATCH(C199,immuization!C:C,0)),"NA")</f>
        <v>111492</v>
      </c>
    </row>
    <row r="200">
      <c r="A200" s="1" t="s">
        <v>373</v>
      </c>
      <c r="B200" s="1" t="s">
        <v>410</v>
      </c>
      <c r="C200" s="4" t="s">
        <v>411</v>
      </c>
      <c r="D200" s="3">
        <f t="array" ref="D200">IFERROR(INDEX(ie_records!D:D,MATCH(C200,ie_records!C:C,0)),"NA")</f>
        <v>79148</v>
      </c>
      <c r="E200" s="3" t="str">
        <f t="array" ref="E200">IFERROR(INDEX(enumeration_kad_bau_ada_gombe_y!D:D,MATCH(C200,enumeration_kad_bau_ada_gombe_y!B:B,0)),"NA")</f>
        <v>NA</v>
      </c>
      <c r="F200" s="3">
        <f t="array" ref="F200">IFERROR(INDEX(world_pop!G:G,MATCH(C200,world_pop!F:F,0)),"NA")</f>
        <v>66378</v>
      </c>
      <c r="G200" s="3" t="str">
        <f t="array" ref="G200">IFERROR(INDEX(mda_last_round!C:C,MATCH(C200,mda_last_round!E:E,0)),"NA")</f>
        <v>NA</v>
      </c>
      <c r="H200" s="3">
        <f t="array" ref="H200">IFERROR(INDEX(immuization!E:E,MATCH(C200,immuization!C:C,0)),"NA")</f>
        <v>208686</v>
      </c>
    </row>
    <row r="201">
      <c r="A201" s="1" t="s">
        <v>373</v>
      </c>
      <c r="B201" s="1" t="s">
        <v>412</v>
      </c>
      <c r="C201" s="1" t="s">
        <v>413</v>
      </c>
      <c r="D201" s="3">
        <f t="array" ref="D201">IFERROR(INDEX(ie_records!D:D,MATCH(C201,ie_records!C:C,0)),"NA")</f>
        <v>49216</v>
      </c>
      <c r="E201" s="3" t="str">
        <f t="array" ref="E201">IFERROR(INDEX(enumeration_kad_bau_ada_gombe_y!D:D,MATCH(C201,enumeration_kad_bau_ada_gombe_y!B:B,0)),"NA")</f>
        <v>NA</v>
      </c>
      <c r="F201" s="3">
        <f t="array" ref="F201">IFERROR(INDEX(world_pop!G:G,MATCH(C201,world_pop!F:F,0)),"NA")</f>
        <v>28679</v>
      </c>
      <c r="G201" s="3">
        <f t="array" ref="G201">IFERROR(INDEX(mda_last_round!C:C,MATCH(C201,mda_last_round!E:E,0)),"NA")</f>
        <v>33108</v>
      </c>
      <c r="H201" s="3">
        <f t="array" ref="H201">IFERROR(INDEX(immuization!E:E,MATCH(C201,immuization!C:C,0)),"NA")</f>
        <v>108701</v>
      </c>
    </row>
    <row r="202">
      <c r="A202" s="1" t="s">
        <v>373</v>
      </c>
      <c r="B202" s="1" t="s">
        <v>414</v>
      </c>
      <c r="C202" s="1" t="s">
        <v>415</v>
      </c>
      <c r="D202" s="3">
        <f t="array" ref="D202">IFERROR(INDEX(ie_records!D:D,MATCH(C202,ie_records!C:C,0)),"NA")</f>
        <v>62802</v>
      </c>
      <c r="E202" s="3" t="str">
        <f t="array" ref="E202">IFERROR(INDEX(enumeration_kad_bau_ada_gombe_y!D:D,MATCH(C202,enumeration_kad_bau_ada_gombe_y!B:B,0)),"NA")</f>
        <v>NA</v>
      </c>
      <c r="F202" s="3">
        <f t="array" ref="F202">IFERROR(INDEX(world_pop!G:G,MATCH(C202,world_pop!F:F,0)),"NA")</f>
        <v>47081</v>
      </c>
      <c r="G202" s="3">
        <f t="array" ref="G202">IFERROR(INDEX(mda_last_round!C:C,MATCH(C202,mda_last_round!E:E,0)),"NA")</f>
        <v>60864</v>
      </c>
      <c r="H202" s="3">
        <f t="array" ref="H202">IFERROR(INDEX(immuization!E:E,MATCH(C202,immuization!C:C,0)),"NA")</f>
        <v>133518</v>
      </c>
    </row>
    <row r="203">
      <c r="A203" s="1" t="s">
        <v>416</v>
      </c>
      <c r="B203" s="1" t="s">
        <v>417</v>
      </c>
      <c r="C203" s="1" t="s">
        <v>418</v>
      </c>
      <c r="D203" s="3" t="str">
        <f t="array" ref="D203">IFERROR(INDEX(ie_records!D:D,MATCH(C203,ie_records!C:C,0)),"NA")</f>
        <v>NA</v>
      </c>
      <c r="E203" s="3">
        <f t="array" ref="E203">IFERROR(INDEX(enumeration_kad_bau_ada_gombe_y!D:D,MATCH(C203,enumeration_kad_bau_ada_gombe_y!B:B,0)),"NA")</f>
        <v>28515</v>
      </c>
      <c r="F203" s="3">
        <f t="array" ref="F203">IFERROR(INDEX(world_pop!G:G,MATCH(C203,world_pop!F:F,0)),"NA")</f>
        <v>16386</v>
      </c>
      <c r="G203" s="3">
        <f t="array" ref="G203">IFERROR(INDEX(mda_last_round!C:C,MATCH(C203,mda_last_round!E:E,0)),"NA")</f>
        <v>49079</v>
      </c>
      <c r="H203" s="3">
        <f t="array" ref="H203">IFERROR(INDEX(immuization!E:E,MATCH(C203,immuization!C:C,0)),"NA")</f>
        <v>55917</v>
      </c>
    </row>
    <row r="204">
      <c r="A204" s="1" t="s">
        <v>416</v>
      </c>
      <c r="B204" s="1" t="s">
        <v>419</v>
      </c>
      <c r="C204" s="1" t="s">
        <v>420</v>
      </c>
      <c r="D204" s="3" t="str">
        <f t="array" ref="D204">IFERROR(INDEX(ie_records!D:D,MATCH(C204,ie_records!C:C,0)),"NA")</f>
        <v>NA</v>
      </c>
      <c r="E204" s="3">
        <f t="array" ref="E204">IFERROR(INDEX(enumeration_kad_bau_ada_gombe_y!D:D,MATCH(C204,enumeration_kad_bau_ada_gombe_y!B:B,0)),"NA")</f>
        <v>40925</v>
      </c>
      <c r="F204" s="3">
        <f t="array" ref="F204">IFERROR(INDEX(world_pop!G:G,MATCH(C204,world_pop!F:F,0)),"NA")</f>
        <v>37941</v>
      </c>
      <c r="G204" s="3">
        <f t="array" ref="G204">IFERROR(INDEX(mda_last_round!C:C,MATCH(C204,mda_last_round!E:E,0)),"NA")</f>
        <v>0</v>
      </c>
      <c r="H204" s="3">
        <f t="array" ref="H204">IFERROR(INDEX(immuization!E:E,MATCH(C204,immuization!C:C,0)),"NA")</f>
        <v>101590</v>
      </c>
    </row>
    <row r="205">
      <c r="A205" s="1" t="s">
        <v>416</v>
      </c>
      <c r="B205" s="1" t="s">
        <v>421</v>
      </c>
      <c r="C205" s="4" t="s">
        <v>422</v>
      </c>
      <c r="D205" s="3" t="str">
        <f t="array" ref="D205">IFERROR(INDEX(ie_records!D:D,MATCH(C205,ie_records!C:C,0)),"NA")</f>
        <v>NA</v>
      </c>
      <c r="E205" s="3">
        <f t="array" ref="E205">IFERROR(INDEX(enumeration_kad_bau_ada_gombe_y!D:D,MATCH(C205,enumeration_kad_bau_ada_gombe_y!B:B,0)),"NA")</f>
        <v>43566</v>
      </c>
      <c r="F205" s="3">
        <f t="array" ref="F205">IFERROR(INDEX(world_pop!G:G,MATCH(C205,world_pop!F:F,0)),"NA")</f>
        <v>54054</v>
      </c>
      <c r="G205" s="3">
        <f t="array" ref="G205">IFERROR(INDEX(mda_last_round!C:C,MATCH(C205,mda_last_round!E:E,0)),"NA")</f>
        <v>55627</v>
      </c>
      <c r="H205" s="3">
        <f t="array" ref="H205">IFERROR(INDEX(immuization!E:E,MATCH(C205,immuization!C:C,0)),"NA")</f>
        <v>109287</v>
      </c>
    </row>
    <row r="206">
      <c r="A206" s="1" t="s">
        <v>416</v>
      </c>
      <c r="B206" s="1" t="s">
        <v>423</v>
      </c>
      <c r="C206" s="1" t="s">
        <v>424</v>
      </c>
      <c r="D206" s="3" t="str">
        <f t="array" ref="D206">IFERROR(INDEX(ie_records!D:D,MATCH(C206,ie_records!C:C,0)),"NA")</f>
        <v>NA</v>
      </c>
      <c r="E206" s="3">
        <f t="array" ref="E206">IFERROR(INDEX(enumeration_kad_bau_ada_gombe_y!D:D,MATCH(C206,enumeration_kad_bau_ada_gombe_y!B:B,0)),"NA")</f>
        <v>111590</v>
      </c>
      <c r="F206" s="3">
        <f t="array" ref="F206">IFERROR(INDEX(world_pop!G:G,MATCH(C206,world_pop!F:F,0)),"NA")</f>
        <v>56019</v>
      </c>
      <c r="G206" s="3">
        <f t="array" ref="G206">IFERROR(INDEX(mda_last_round!C:C,MATCH(C206,mda_last_round!E:E,0)),"NA")</f>
        <v>73168</v>
      </c>
      <c r="H206" s="3">
        <f t="array" ref="H206">IFERROR(INDEX(immuization!E:E,MATCH(C206,immuization!C:C,0)),"NA")</f>
        <v>159014</v>
      </c>
    </row>
    <row r="207">
      <c r="A207" s="1" t="s">
        <v>416</v>
      </c>
      <c r="B207" s="1" t="s">
        <v>425</v>
      </c>
      <c r="C207" s="1" t="s">
        <v>426</v>
      </c>
      <c r="D207" s="3" t="str">
        <f t="array" ref="D207">IFERROR(INDEX(ie_records!D:D,MATCH(C207,ie_records!C:C,0)),"NA")</f>
        <v>NA</v>
      </c>
      <c r="E207" s="3">
        <f t="array" ref="E207">IFERROR(INDEX(enumeration_kad_bau_ada_gombe_y!D:D,MATCH(C207,enumeration_kad_bau_ada_gombe_y!B:B,0)),"NA")</f>
        <v>64681</v>
      </c>
      <c r="F207" s="3">
        <f t="array" ref="F207">IFERROR(INDEX(world_pop!G:G,MATCH(C207,world_pop!F:F,0)),"NA")</f>
        <v>36347</v>
      </c>
      <c r="G207" s="3">
        <f t="array" ref="G207">IFERROR(INDEX(mda_last_round!C:C,MATCH(C207,mda_last_round!E:E,0)),"NA")</f>
        <v>72969</v>
      </c>
      <c r="H207" s="3">
        <f t="array" ref="H207">IFERROR(INDEX(immuization!E:E,MATCH(C207,immuization!C:C,0)),"NA")</f>
        <v>119146</v>
      </c>
    </row>
    <row r="208">
      <c r="A208" s="1" t="s">
        <v>416</v>
      </c>
      <c r="B208" s="1" t="s">
        <v>427</v>
      </c>
      <c r="C208" s="1" t="s">
        <v>428</v>
      </c>
      <c r="D208" s="3" t="str">
        <f t="array" ref="D208">IFERROR(INDEX(ie_records!D:D,MATCH(C208,ie_records!C:C,0)),"NA")</f>
        <v>NA</v>
      </c>
      <c r="E208" s="3">
        <f t="array" ref="E208">IFERROR(INDEX(enumeration_kad_bau_ada_gombe_y!D:D,MATCH(C208,enumeration_kad_bau_ada_gombe_y!B:B,0)),"NA")</f>
        <v>41497</v>
      </c>
      <c r="F208" s="3">
        <f t="array" ref="F208">IFERROR(INDEX(world_pop!G:G,MATCH(C208,world_pop!F:F,0)),"NA")</f>
        <v>16636</v>
      </c>
      <c r="G208" s="3">
        <f t="array" ref="G208">IFERROR(INDEX(mda_last_round!C:C,MATCH(C208,mda_last_round!E:E,0)),"NA")</f>
        <v>21214</v>
      </c>
      <c r="H208" s="3">
        <f t="array" ref="H208">IFERROR(INDEX(immuization!E:E,MATCH(C208,immuization!C:C,0)),"NA")</f>
        <v>54777</v>
      </c>
    </row>
    <row r="209">
      <c r="A209" s="1" t="s">
        <v>416</v>
      </c>
      <c r="B209" s="1" t="s">
        <v>429</v>
      </c>
      <c r="C209" s="1" t="s">
        <v>430</v>
      </c>
      <c r="D209" s="3" t="str">
        <f t="array" ref="D209">IFERROR(INDEX(ie_records!D:D,MATCH(C209,ie_records!C:C,0)),"NA")</f>
        <v>NA</v>
      </c>
      <c r="E209" s="3">
        <f t="array" ref="E209">IFERROR(INDEX(enumeration_kad_bau_ada_gombe_y!D:D,MATCH(C209,enumeration_kad_bau_ada_gombe_y!B:B,0)),"NA")</f>
        <v>71214</v>
      </c>
      <c r="F209" s="3">
        <f t="array" ref="F209">IFERROR(INDEX(world_pop!G:G,MATCH(C209,world_pop!F:F,0)),"NA")</f>
        <v>45417</v>
      </c>
      <c r="G209" s="3">
        <f t="array" ref="G209">IFERROR(INDEX(mda_last_round!C:C,MATCH(C209,mda_last_round!E:E,0)),"NA")</f>
        <v>76968</v>
      </c>
      <c r="H209" s="3">
        <f t="array" ref="H209">IFERROR(INDEX(immuization!E:E,MATCH(C209,immuization!C:C,0)),"NA")</f>
        <v>130043</v>
      </c>
    </row>
    <row r="210">
      <c r="A210" s="1" t="s">
        <v>416</v>
      </c>
      <c r="B210" s="1" t="s">
        <v>431</v>
      </c>
      <c r="C210" s="1" t="s">
        <v>432</v>
      </c>
      <c r="D210" s="3" t="str">
        <f t="array" ref="D210">IFERROR(INDEX(ie_records!D:D,MATCH(C210,ie_records!C:C,0)),"NA")</f>
        <v>NA</v>
      </c>
      <c r="E210" s="3">
        <f t="array" ref="E210">IFERROR(INDEX(enumeration_kad_bau_ada_gombe_y!D:D,MATCH(C210,enumeration_kad_bau_ada_gombe_y!B:B,0)),"NA")</f>
        <v>56446</v>
      </c>
      <c r="F210" s="3">
        <f t="array" ref="F210">IFERROR(INDEX(world_pop!G:G,MATCH(C210,world_pop!F:F,0)),"NA")</f>
        <v>44528</v>
      </c>
      <c r="G210" s="3">
        <f t="array" ref="G210">IFERROR(INDEX(mda_last_round!C:C,MATCH(C210,mda_last_round!E:E,0)),"NA")</f>
        <v>48091</v>
      </c>
      <c r="H210" s="3">
        <f t="array" ref="H210">IFERROR(INDEX(immuization!E:E,MATCH(C210,immuization!C:C,0)),"NA")</f>
        <v>118938</v>
      </c>
    </row>
    <row r="211">
      <c r="A211" s="1" t="s">
        <v>416</v>
      </c>
      <c r="B211" s="1" t="s">
        <v>433</v>
      </c>
      <c r="C211" s="1" t="s">
        <v>434</v>
      </c>
      <c r="D211" s="3" t="str">
        <f t="array" ref="D211">IFERROR(INDEX(ie_records!D:D,MATCH(C211,ie_records!C:C,0)),"NA")</f>
        <v>NA</v>
      </c>
      <c r="E211" s="3">
        <f t="array" ref="E211">IFERROR(INDEX(enumeration_kad_bau_ada_gombe_y!D:D,MATCH(C211,enumeration_kad_bau_ada_gombe_y!B:B,0)),"NA")</f>
        <v>56581</v>
      </c>
      <c r="F211" s="3">
        <f t="array" ref="F211">IFERROR(INDEX(world_pop!G:G,MATCH(C211,world_pop!F:F,0)),"NA")</f>
        <v>20436</v>
      </c>
      <c r="G211" s="3">
        <f t="array" ref="G211">IFERROR(INDEX(mda_last_round!C:C,MATCH(C211,mda_last_round!E:E,0)),"NA")</f>
        <v>49282</v>
      </c>
      <c r="H211" s="3">
        <f t="array" ref="H211">IFERROR(INDEX(immuization!E:E,MATCH(C211,immuization!C:C,0)),"NA")</f>
        <v>92279</v>
      </c>
    </row>
    <row r="212">
      <c r="A212" s="1" t="s">
        <v>416</v>
      </c>
      <c r="B212" s="1" t="s">
        <v>435</v>
      </c>
      <c r="C212" s="1" t="s">
        <v>436</v>
      </c>
      <c r="D212" s="3" t="str">
        <f t="array" ref="D212">IFERROR(INDEX(ie_records!D:D,MATCH(C212,ie_records!C:C,0)),"NA")</f>
        <v>NA</v>
      </c>
      <c r="E212" s="3">
        <f t="array" ref="E212">IFERROR(INDEX(enumeration_kad_bau_ada_gombe_y!D:D,MATCH(C212,enumeration_kad_bau_ada_gombe_y!B:B,0)),"NA")</f>
        <v>63300</v>
      </c>
      <c r="F212" s="3">
        <f t="array" ref="F212">IFERROR(INDEX(world_pop!G:G,MATCH(C212,world_pop!F:F,0)),"NA")</f>
        <v>14946</v>
      </c>
      <c r="G212" s="3">
        <f t="array" ref="G212">IFERROR(INDEX(mda_last_round!C:C,MATCH(C212,mda_last_round!E:E,0)),"NA")</f>
        <v>64265</v>
      </c>
      <c r="H212" s="3">
        <f t="array" ref="H212">IFERROR(INDEX(immuization!E:E,MATCH(C212,immuization!C:C,0)),"NA")</f>
        <v>74275</v>
      </c>
    </row>
    <row r="213">
      <c r="A213" s="1" t="s">
        <v>416</v>
      </c>
      <c r="B213" s="1" t="s">
        <v>437</v>
      </c>
      <c r="C213" s="1" t="s">
        <v>438</v>
      </c>
      <c r="D213" s="3" t="str">
        <f t="array" ref="D213">IFERROR(INDEX(ie_records!D:D,MATCH(C213,ie_records!C:C,0)),"NA")</f>
        <v>NA</v>
      </c>
      <c r="E213" s="3">
        <f t="array" ref="E213">IFERROR(INDEX(enumeration_kad_bau_ada_gombe_y!D:D,MATCH(C213,enumeration_kad_bau_ada_gombe_y!B:B,0)),"NA")</f>
        <v>84129</v>
      </c>
      <c r="F213" s="3">
        <f t="array" ref="F213">IFERROR(INDEX(world_pop!G:G,MATCH(C213,world_pop!F:F,0)),"NA")</f>
        <v>42916</v>
      </c>
      <c r="G213" s="3">
        <f t="array" ref="G213">IFERROR(INDEX(mda_last_round!C:C,MATCH(C213,mda_last_round!E:E,0)),"NA")</f>
        <v>68441</v>
      </c>
      <c r="H213" s="3">
        <f t="array" ref="H213">IFERROR(INDEX(immuization!E:E,MATCH(C213,immuization!C:C,0)),"NA")</f>
        <v>137951</v>
      </c>
    </row>
    <row r="214">
      <c r="A214" s="1" t="s">
        <v>416</v>
      </c>
      <c r="B214" s="1" t="s">
        <v>439</v>
      </c>
      <c r="C214" s="1" t="s">
        <v>440</v>
      </c>
      <c r="D214" s="3" t="str">
        <f t="array" ref="D214">IFERROR(INDEX(ie_records!D:D,MATCH(C214,ie_records!C:C,0)),"NA")</f>
        <v>NA</v>
      </c>
      <c r="E214" s="3">
        <f t="array" ref="E214">IFERROR(INDEX(enumeration_kad_bau_ada_gombe_y!D:D,MATCH(C214,enumeration_kad_bau_ada_gombe_y!B:B,0)),"NA")</f>
        <v>29369</v>
      </c>
      <c r="F214" s="3">
        <f t="array" ref="F214">IFERROR(INDEX(world_pop!G:G,MATCH(C214,world_pop!F:F,0)),"NA")</f>
        <v>25700</v>
      </c>
      <c r="G214" s="3">
        <f t="array" ref="G214">IFERROR(INDEX(mda_last_round!C:C,MATCH(C214,mda_last_round!E:E,0)),"NA")</f>
        <v>44418</v>
      </c>
      <c r="H214" s="3">
        <f t="array" ref="H214">IFERROR(INDEX(immuization!E:E,MATCH(C214,immuization!C:C,0)),"NA")</f>
        <v>86621</v>
      </c>
    </row>
    <row r="215">
      <c r="A215" s="1" t="s">
        <v>416</v>
      </c>
      <c r="B215" s="1" t="s">
        <v>441</v>
      </c>
      <c r="C215" s="1" t="s">
        <v>442</v>
      </c>
      <c r="D215" s="3" t="str">
        <f t="array" ref="D215">IFERROR(INDEX(ie_records!D:D,MATCH(C215,ie_records!C:C,0)),"NA")</f>
        <v>NA</v>
      </c>
      <c r="E215" s="3">
        <f t="array" ref="E215">IFERROR(INDEX(enumeration_kad_bau_ada_gombe_y!D:D,MATCH(C215,enumeration_kad_bau_ada_gombe_y!B:B,0)),"NA")</f>
        <v>67733</v>
      </c>
      <c r="F215" s="3">
        <f t="array" ref="F215">IFERROR(INDEX(world_pop!G:G,MATCH(C215,world_pop!F:F,0)),"NA")</f>
        <v>50476</v>
      </c>
      <c r="G215" s="3">
        <f t="array" ref="G215">IFERROR(INDEX(mda_last_round!C:C,MATCH(C215,mda_last_round!E:E,0)),"NA")</f>
        <v>0</v>
      </c>
      <c r="H215" s="3">
        <f t="array" ref="H215">IFERROR(INDEX(immuization!E:E,MATCH(C215,immuization!C:C,0)),"NA")</f>
        <v>110349</v>
      </c>
    </row>
    <row r="216">
      <c r="A216" s="1" t="s">
        <v>416</v>
      </c>
      <c r="B216" s="1" t="s">
        <v>443</v>
      </c>
      <c r="C216" s="1" t="s">
        <v>444</v>
      </c>
      <c r="D216" s="3" t="str">
        <f t="array" ref="D216">IFERROR(INDEX(ie_records!D:D,MATCH(C216,ie_records!C:C,0)),"NA")</f>
        <v>NA</v>
      </c>
      <c r="E216" s="3">
        <f t="array" ref="E216">IFERROR(INDEX(enumeration_kad_bau_ada_gombe_y!D:D,MATCH(C216,enumeration_kad_bau_ada_gombe_y!B:B,0)),"NA")</f>
        <v>52039</v>
      </c>
      <c r="F216" s="3">
        <f t="array" ref="F216">IFERROR(INDEX(world_pop!G:G,MATCH(C216,world_pop!F:F,0)),"NA")</f>
        <v>26954</v>
      </c>
      <c r="G216" s="3">
        <f t="array" ref="G216">IFERROR(INDEX(mda_last_round!C:C,MATCH(C216,mda_last_round!E:E,0)),"NA")</f>
        <v>46760</v>
      </c>
      <c r="H216" s="3">
        <f t="array" ref="H216">IFERROR(INDEX(immuization!E:E,MATCH(C216,immuization!C:C,0)),"NA")</f>
        <v>100028</v>
      </c>
    </row>
    <row r="217">
      <c r="A217" s="1" t="s">
        <v>416</v>
      </c>
      <c r="B217" s="1" t="s">
        <v>445</v>
      </c>
      <c r="C217" s="1" t="s">
        <v>446</v>
      </c>
      <c r="D217" s="3" t="str">
        <f t="array" ref="D217">IFERROR(INDEX(ie_records!D:D,MATCH(C217,ie_records!C:C,0)),"NA")</f>
        <v>NA</v>
      </c>
      <c r="E217" s="3">
        <f t="array" ref="E217">IFERROR(INDEX(enumeration_kad_bau_ada_gombe_y!D:D,MATCH(C217,enumeration_kad_bau_ada_gombe_y!B:B,0)),"NA")</f>
        <v>34235</v>
      </c>
      <c r="F217" s="3">
        <f t="array" ref="F217">IFERROR(INDEX(world_pop!G:G,MATCH(C217,world_pop!F:F,0)),"NA")</f>
        <v>18902</v>
      </c>
      <c r="G217" s="3">
        <f t="array" ref="G217">IFERROR(INDEX(mda_last_round!C:C,MATCH(C217,mda_last_round!E:E,0)),"NA")</f>
        <v>0</v>
      </c>
      <c r="H217" s="3">
        <f t="array" ref="H217">IFERROR(INDEX(immuization!E:E,MATCH(C217,immuization!C:C,0)),"NA")</f>
        <v>67081</v>
      </c>
    </row>
    <row r="218">
      <c r="A218" s="1" t="s">
        <v>416</v>
      </c>
      <c r="B218" s="1" t="s">
        <v>447</v>
      </c>
      <c r="C218" s="1" t="s">
        <v>448</v>
      </c>
      <c r="D218" s="3" t="str">
        <f t="array" ref="D218">IFERROR(INDEX(ie_records!D:D,MATCH(C218,ie_records!C:C,0)),"NA")</f>
        <v>NA</v>
      </c>
      <c r="E218" s="3">
        <f t="array" ref="E218">IFERROR(INDEX(enumeration_kad_bau_ada_gombe_y!D:D,MATCH(C218,enumeration_kad_bau_ada_gombe_y!B:B,0)),"NA")</f>
        <v>63561</v>
      </c>
      <c r="F218" s="3">
        <f t="array" ref="F218">IFERROR(INDEX(world_pop!G:G,MATCH(C218,world_pop!F:F,0)),"NA")</f>
        <v>30579</v>
      </c>
      <c r="G218" s="3">
        <f t="array" ref="G218">IFERROR(INDEX(mda_last_round!C:C,MATCH(C218,mda_last_round!E:E,0)),"NA")</f>
        <v>52886</v>
      </c>
      <c r="H218" s="3">
        <f t="array" ref="H218">IFERROR(INDEX(immuization!E:E,MATCH(C218,immuization!C:C,0)),"NA")</f>
        <v>78189</v>
      </c>
    </row>
    <row r="219">
      <c r="A219" s="1" t="s">
        <v>416</v>
      </c>
      <c r="B219" s="1" t="s">
        <v>449</v>
      </c>
      <c r="C219" s="1" t="s">
        <v>450</v>
      </c>
      <c r="D219" s="3" t="str">
        <f t="array" ref="D219">IFERROR(INDEX(ie_records!D:D,MATCH(C219,ie_records!C:C,0)),"NA")</f>
        <v>NA</v>
      </c>
      <c r="E219" s="3">
        <f t="array" ref="E219">IFERROR(INDEX(enumeration_kad_bau_ada_gombe_y!D:D,MATCH(C219,enumeration_kad_bau_ada_gombe_y!B:B,0)),"NA")</f>
        <v>55159</v>
      </c>
      <c r="F219" s="3">
        <f t="array" ref="F219">IFERROR(INDEX(world_pop!G:G,MATCH(C219,world_pop!F:F,0)),"NA")</f>
        <v>36138</v>
      </c>
      <c r="G219" s="3">
        <f t="array" ref="G219">IFERROR(INDEX(mda_last_round!C:C,MATCH(C219,mda_last_round!E:E,0)),"NA")</f>
        <v>61056</v>
      </c>
      <c r="H219" s="3">
        <f t="array" ref="H219">IFERROR(INDEX(immuization!E:E,MATCH(C219,immuization!C:C,0)),"NA")</f>
        <v>80661</v>
      </c>
    </row>
    <row r="220">
      <c r="A220" s="1" t="s">
        <v>416</v>
      </c>
      <c r="B220" s="1" t="s">
        <v>451</v>
      </c>
      <c r="C220" s="1" t="s">
        <v>452</v>
      </c>
      <c r="D220" s="3" t="str">
        <f t="array" ref="D220">IFERROR(INDEX(ie_records!D:D,MATCH(C220,ie_records!C:C,0)),"NA")</f>
        <v>NA</v>
      </c>
      <c r="E220" s="3">
        <f t="array" ref="E220">IFERROR(INDEX(enumeration_kad_bau_ada_gombe_y!D:D,MATCH(C220,enumeration_kad_bau_ada_gombe_y!B:B,0)),"NA")</f>
        <v>94832</v>
      </c>
      <c r="F220" s="3">
        <f t="array" ref="F220">IFERROR(INDEX(world_pop!G:G,MATCH(C220,world_pop!F:F,0)),"NA")</f>
        <v>39391</v>
      </c>
      <c r="G220" s="3">
        <f t="array" ref="G220">IFERROR(INDEX(mda_last_round!C:C,MATCH(C220,mda_last_round!E:E,0)),"NA")</f>
        <v>83207</v>
      </c>
      <c r="H220" s="3">
        <f t="array" ref="H220">IFERROR(INDEX(immuization!E:E,MATCH(C220,immuization!C:C,0)),"NA")</f>
        <v>137641</v>
      </c>
    </row>
    <row r="221">
      <c r="A221" s="1" t="s">
        <v>416</v>
      </c>
      <c r="B221" s="1" t="s">
        <v>453</v>
      </c>
      <c r="C221" s="1" t="s">
        <v>454</v>
      </c>
      <c r="D221" s="3" t="str">
        <f t="array" ref="D221">IFERROR(INDEX(ie_records!D:D,MATCH(C221,ie_records!C:C,0)),"NA")</f>
        <v>NA</v>
      </c>
      <c r="E221" s="3">
        <f t="array" ref="E221">IFERROR(INDEX(enumeration_kad_bau_ada_gombe_y!D:D,MATCH(C221,enumeration_kad_bau_ada_gombe_y!B:B,0)),"NA")</f>
        <v>36925</v>
      </c>
      <c r="F221" s="3">
        <f t="array" ref="F221">IFERROR(INDEX(world_pop!G:G,MATCH(C221,world_pop!F:F,0)),"NA")</f>
        <v>24800</v>
      </c>
      <c r="G221" s="3">
        <f t="array" ref="G221">IFERROR(INDEX(mda_last_round!C:C,MATCH(C221,mda_last_round!E:E,0)),"NA")</f>
        <v>38862</v>
      </c>
      <c r="H221" s="3">
        <f t="array" ref="H221">IFERROR(INDEX(immuization!E:E,MATCH(C221,immuization!C:C,0)),"NA")</f>
        <v>60495</v>
      </c>
    </row>
    <row r="222">
      <c r="A222" s="1" t="s">
        <v>416</v>
      </c>
      <c r="B222" s="1" t="s">
        <v>455</v>
      </c>
      <c r="C222" s="1" t="s">
        <v>456</v>
      </c>
      <c r="D222" s="3" t="str">
        <f t="array" ref="D222">IFERROR(INDEX(ie_records!D:D,MATCH(C222,ie_records!C:C,0)),"NA")</f>
        <v>NA</v>
      </c>
      <c r="E222" s="3">
        <f t="array" ref="E222">IFERROR(INDEX(enumeration_kad_bau_ada_gombe_y!D:D,MATCH(C222,enumeration_kad_bau_ada_gombe_y!B:B,0)),"NA")</f>
        <v>18385</v>
      </c>
      <c r="F222" s="3">
        <f t="array" ref="F222">IFERROR(INDEX(world_pop!G:G,MATCH(C222,world_pop!F:F,0)),"NA")</f>
        <v>16242</v>
      </c>
      <c r="G222" s="3">
        <f t="array" ref="G222">IFERROR(INDEX(mda_last_round!C:C,MATCH(C222,mda_last_round!E:E,0)),"NA")</f>
        <v>33274</v>
      </c>
      <c r="H222" s="3">
        <f t="array" ref="H222">IFERROR(INDEX(immuization!E:E,MATCH(C222,immuization!C:C,0)),"NA")</f>
        <v>54985</v>
      </c>
    </row>
    <row r="223">
      <c r="A223" s="1" t="s">
        <v>416</v>
      </c>
      <c r="B223" s="1" t="s">
        <v>457</v>
      </c>
      <c r="C223" s="1" t="s">
        <v>458</v>
      </c>
      <c r="D223" s="3" t="str">
        <f t="array" ref="D223">IFERROR(INDEX(ie_records!D:D,MATCH(C223,ie_records!C:C,0)),"NA")</f>
        <v>NA</v>
      </c>
      <c r="E223" s="3">
        <f t="array" ref="E223">IFERROR(INDEX(enumeration_kad_bau_ada_gombe_y!D:D,MATCH(C223,enumeration_kad_bau_ada_gombe_y!B:B,0)),"NA")</f>
        <v>45756</v>
      </c>
      <c r="F223" s="3">
        <f t="array" ref="F223">IFERROR(INDEX(world_pop!G:G,MATCH(C223,world_pop!F:F,0)),"NA")</f>
        <v>64654</v>
      </c>
      <c r="G223" s="3">
        <f t="array" ref="G223">IFERROR(INDEX(mda_last_round!C:C,MATCH(C223,mda_last_round!E:E,0)),"NA")</f>
        <v>57600</v>
      </c>
      <c r="H223" s="3">
        <f t="array" ref="H223">IFERROR(INDEX(immuization!E:E,MATCH(C223,immuization!C:C,0)),"NA")</f>
        <v>129931</v>
      </c>
    </row>
    <row r="224">
      <c r="A224" s="1" t="s">
        <v>416</v>
      </c>
      <c r="B224" s="1" t="s">
        <v>459</v>
      </c>
      <c r="C224" s="1" t="s">
        <v>460</v>
      </c>
      <c r="D224" s="3" t="str">
        <f t="array" ref="D224">IFERROR(INDEX(ie_records!D:D,MATCH(C224,ie_records!C:C,0)),"NA")</f>
        <v>NA</v>
      </c>
      <c r="E224" s="3">
        <f t="array" ref="E224">IFERROR(INDEX(enumeration_kad_bau_ada_gombe_y!D:D,MATCH(C224,enumeration_kad_bau_ada_gombe_y!B:B,0)),"NA")</f>
        <v>43349</v>
      </c>
      <c r="F224" s="3">
        <f t="array" ref="F224">IFERROR(INDEX(world_pop!G:G,MATCH(C224,world_pop!F:F,0)),"NA")</f>
        <v>30240</v>
      </c>
      <c r="G224" s="3">
        <f t="array" ref="G224">IFERROR(INDEX(mda_last_round!C:C,MATCH(C224,mda_last_round!E:E,0)),"NA")</f>
        <v>44054</v>
      </c>
      <c r="H224" s="3">
        <f t="array" ref="H224">IFERROR(INDEX(immuization!E:E,MATCH(C224,immuization!C:C,0)),"NA")</f>
        <v>116791</v>
      </c>
    </row>
    <row r="225">
      <c r="A225" s="1" t="s">
        <v>416</v>
      </c>
      <c r="B225" s="1" t="s">
        <v>461</v>
      </c>
      <c r="C225" s="1" t="s">
        <v>462</v>
      </c>
      <c r="D225" s="3" t="str">
        <f t="array" ref="D225">IFERROR(INDEX(ie_records!D:D,MATCH(C225,ie_records!C:C,0)),"NA")</f>
        <v>NA</v>
      </c>
      <c r="E225" s="3">
        <f t="array" ref="E225">IFERROR(INDEX(enumeration_kad_bau_ada_gombe_y!D:D,MATCH(C225,enumeration_kad_bau_ada_gombe_y!B:B,0)),"NA")</f>
        <v>33182</v>
      </c>
      <c r="F225" s="3">
        <f t="array" ref="F225">IFERROR(INDEX(world_pop!G:G,MATCH(C225,world_pop!F:F,0)),"NA")</f>
        <v>20122</v>
      </c>
      <c r="G225" s="3">
        <f t="array" ref="G225">IFERROR(INDEX(mda_last_round!C:C,MATCH(C225,mda_last_round!E:E,0)),"NA")</f>
        <v>38293</v>
      </c>
      <c r="H225" s="3">
        <f t="array" ref="H225">IFERROR(INDEX(immuization!E:E,MATCH(C225,immuization!C:C,0)),"NA")</f>
        <v>79877</v>
      </c>
    </row>
    <row r="226">
      <c r="A226" s="1" t="s">
        <v>463</v>
      </c>
      <c r="B226" s="1" t="s">
        <v>464</v>
      </c>
      <c r="C226" s="1" t="s">
        <v>465</v>
      </c>
      <c r="D226" s="3" t="str">
        <f t="array" ref="D226">IFERROR(INDEX(ie_records!D:D,MATCH(C226,ie_records!C:C,0)),"NA")</f>
        <v>NA</v>
      </c>
      <c r="E226" s="3">
        <f t="array" ref="E226">IFERROR(INDEX(enumeration_kad_bau_ada_gombe_y!D:D,MATCH(C226,enumeration_kad_bau_ada_gombe_y!B:B,0)),"NA")</f>
        <v>81397</v>
      </c>
      <c r="F226" s="3">
        <f t="array" ref="F226">IFERROR(INDEX(world_pop!G:G,MATCH(C226,world_pop!F:F,0)),"NA")</f>
        <v>41562</v>
      </c>
      <c r="G226" s="3">
        <f t="array" ref="G226">IFERROR(INDEX(mda_last_round!C:C,MATCH(C226,mda_last_round!E:E,0)),"NA")</f>
        <v>79696</v>
      </c>
      <c r="H226" s="3">
        <f t="array" ref="H226">IFERROR(INDEX(immuization!E:E,MATCH(C226,immuization!C:C,0)),"NA")</f>
        <v>112742</v>
      </c>
    </row>
    <row r="227">
      <c r="A227" s="1" t="s">
        <v>463</v>
      </c>
      <c r="B227" s="1" t="s">
        <v>466</v>
      </c>
      <c r="C227" s="1" t="s">
        <v>467</v>
      </c>
      <c r="D227" s="3" t="str">
        <f t="array" ref="D227">IFERROR(INDEX(ie_records!D:D,MATCH(C227,ie_records!C:C,0)),"NA")</f>
        <v>NA</v>
      </c>
      <c r="E227" s="3">
        <f t="array" ref="E227">IFERROR(INDEX(enumeration_kad_bau_ada_gombe_y!D:D,MATCH(C227,enumeration_kad_bau_ada_gombe_y!B:B,0)),"NA")</f>
        <v>65369</v>
      </c>
      <c r="F227" s="3">
        <f t="array" ref="F227">IFERROR(INDEX(world_pop!G:G,MATCH(C227,world_pop!F:F,0)),"NA")</f>
        <v>36652</v>
      </c>
      <c r="G227" s="3">
        <f t="array" ref="G227">IFERROR(INDEX(mda_last_round!C:C,MATCH(C227,mda_last_round!E:E,0)),"NA")</f>
        <v>0</v>
      </c>
      <c r="H227" s="3">
        <f t="array" ref="H227">IFERROR(INDEX(immuization!E:E,MATCH(C227,immuization!C:C,0)),"NA")</f>
        <v>87536</v>
      </c>
    </row>
    <row r="228">
      <c r="A228" s="1" t="s">
        <v>463</v>
      </c>
      <c r="B228" s="1" t="s">
        <v>468</v>
      </c>
      <c r="C228" s="1" t="s">
        <v>469</v>
      </c>
      <c r="D228" s="3" t="str">
        <f t="array" ref="D228">IFERROR(INDEX(ie_records!D:D,MATCH(C228,ie_records!C:C,0)),"NA")</f>
        <v>NA</v>
      </c>
      <c r="E228" s="3">
        <f t="array" ref="E228">IFERROR(INDEX(enumeration_kad_bau_ada_gombe_y!D:D,MATCH(C228,enumeration_kad_bau_ada_gombe_y!B:B,0)),"NA")</f>
        <v>106378</v>
      </c>
      <c r="F228" s="3">
        <f t="array" ref="F228">IFERROR(INDEX(world_pop!G:G,MATCH(C228,world_pop!F:F,0)),"NA")</f>
        <v>67321</v>
      </c>
      <c r="G228" s="3">
        <f t="array" ref="G228">IFERROR(INDEX(mda_last_round!C:C,MATCH(C228,mda_last_round!E:E,0)),"NA")</f>
        <v>0</v>
      </c>
      <c r="H228" s="3">
        <f t="array" ref="H228">IFERROR(INDEX(immuization!E:E,MATCH(C228,immuization!C:C,0)),"NA")</f>
        <v>104287</v>
      </c>
    </row>
    <row r="229">
      <c r="A229" s="1" t="s">
        <v>463</v>
      </c>
      <c r="B229" s="1" t="s">
        <v>470</v>
      </c>
      <c r="C229" s="1" t="s">
        <v>471</v>
      </c>
      <c r="D229" s="3" t="str">
        <f t="array" ref="D229">IFERROR(INDEX(ie_records!D:D,MATCH(C229,ie_records!C:C,0)),"NA")</f>
        <v>NA</v>
      </c>
      <c r="E229" s="3">
        <f t="array" ref="E229">IFERROR(INDEX(enumeration_kad_bau_ada_gombe_y!D:D,MATCH(C229,enumeration_kad_bau_ada_gombe_y!B:B,0)),"NA")</f>
        <v>109710</v>
      </c>
      <c r="F229" s="3">
        <f t="array" ref="F229">IFERROR(INDEX(world_pop!G:G,MATCH(C229,world_pop!F:F,0)),"NA")</f>
        <v>59647</v>
      </c>
      <c r="G229" s="3">
        <f t="array" ref="G229">IFERROR(INDEX(mda_last_round!C:C,MATCH(C229,mda_last_round!E:E,0)),"NA")</f>
        <v>96969</v>
      </c>
      <c r="H229" s="3">
        <f t="array" ref="H229">IFERROR(INDEX(immuization!E:E,MATCH(C229,immuization!C:C,0)),"NA")</f>
        <v>117897</v>
      </c>
    </row>
    <row r="230">
      <c r="A230" s="1" t="s">
        <v>463</v>
      </c>
      <c r="B230" s="1" t="s">
        <v>472</v>
      </c>
      <c r="C230" s="1" t="s">
        <v>473</v>
      </c>
      <c r="D230" s="3" t="str">
        <f t="array" ref="D230">IFERROR(INDEX(ie_records!D:D,MATCH(C230,ie_records!C:C,0)),"NA")</f>
        <v>NA</v>
      </c>
      <c r="E230" s="3">
        <f t="array" ref="E230">IFERROR(INDEX(enumeration_kad_bau_ada_gombe_y!D:D,MATCH(C230,enumeration_kad_bau_ada_gombe_y!B:B,0)),"NA")</f>
        <v>112214</v>
      </c>
      <c r="F230" s="3">
        <f t="array" ref="F230">IFERROR(INDEX(world_pop!G:G,MATCH(C230,world_pop!F:F,0)),"NA")</f>
        <v>91868</v>
      </c>
      <c r="G230" s="3">
        <f t="array" ref="G230">IFERROR(INDEX(mda_last_round!C:C,MATCH(C230,mda_last_round!E:E,0)),"NA")</f>
        <v>104111</v>
      </c>
      <c r="H230" s="3">
        <f t="array" ref="H230">IFERROR(INDEX(immuization!E:E,MATCH(C230,immuization!C:C,0)),"NA")</f>
        <v>119453</v>
      </c>
    </row>
    <row r="231">
      <c r="A231" s="1" t="s">
        <v>463</v>
      </c>
      <c r="B231" s="1" t="s">
        <v>474</v>
      </c>
      <c r="C231" s="1" t="s">
        <v>475</v>
      </c>
      <c r="D231" s="3" t="str">
        <f t="array" ref="D231">IFERROR(INDEX(ie_records!D:D,MATCH(C231,ie_records!C:C,0)),"NA")</f>
        <v>NA</v>
      </c>
      <c r="E231" s="3">
        <f t="array" ref="E231">IFERROR(INDEX(enumeration_kad_bau_ada_gombe_y!D:D,MATCH(C231,enumeration_kad_bau_ada_gombe_y!B:B,0)),"NA")</f>
        <v>69020</v>
      </c>
      <c r="F231" s="3">
        <f t="array" ref="F231">IFERROR(INDEX(world_pop!G:G,MATCH(C231,world_pop!F:F,0)),"NA")</f>
        <v>46495</v>
      </c>
      <c r="G231" s="3">
        <f t="array" ref="G231">IFERROR(INDEX(mda_last_round!C:C,MATCH(C231,mda_last_round!E:E,0)),"NA")</f>
        <v>65622</v>
      </c>
      <c r="H231" s="3">
        <f t="array" ref="H231">IFERROR(INDEX(immuization!E:E,MATCH(C231,immuization!C:C,0)),"NA")</f>
        <v>64626</v>
      </c>
    </row>
    <row r="232">
      <c r="A232" s="1" t="s">
        <v>463</v>
      </c>
      <c r="B232" s="1" t="s">
        <v>476</v>
      </c>
      <c r="C232" s="1" t="s">
        <v>477</v>
      </c>
      <c r="D232" s="3" t="str">
        <f t="array" ref="D232">IFERROR(INDEX(ie_records!D:D,MATCH(C232,ie_records!C:C,0)),"NA")</f>
        <v>NA</v>
      </c>
      <c r="E232" s="3">
        <f t="array" ref="E232">IFERROR(INDEX(enumeration_kad_bau_ada_gombe_y!D:D,MATCH(C232,enumeration_kad_bau_ada_gombe_y!B:B,0)),"NA")</f>
        <v>70277</v>
      </c>
      <c r="F232" s="3">
        <f t="array" ref="F232">IFERROR(INDEX(world_pop!G:G,MATCH(C232,world_pop!F:F,0)),"NA")</f>
        <v>46486</v>
      </c>
      <c r="G232" s="3">
        <f t="array" ref="G232">IFERROR(INDEX(mda_last_round!C:C,MATCH(C232,mda_last_round!E:E,0)),"NA")</f>
        <v>43225</v>
      </c>
      <c r="H232" s="3">
        <f t="array" ref="H232">IFERROR(INDEX(immuization!E:E,MATCH(C232,immuization!C:C,0)),"NA")</f>
        <v>43993</v>
      </c>
    </row>
    <row r="233">
      <c r="A233" s="1" t="s">
        <v>463</v>
      </c>
      <c r="B233" s="1" t="s">
        <v>478</v>
      </c>
      <c r="C233" s="1" t="s">
        <v>479</v>
      </c>
      <c r="D233" s="3" t="str">
        <f t="array" ref="D233">IFERROR(INDEX(ie_records!D:D,MATCH(C233,ie_records!C:C,0)),"NA")</f>
        <v>NA</v>
      </c>
      <c r="E233" s="3">
        <f t="array" ref="E233">IFERROR(INDEX(enumeration_kad_bau_ada_gombe_y!D:D,MATCH(C233,enumeration_kad_bau_ada_gombe_y!B:B,0)),"NA")</f>
        <v>80236</v>
      </c>
      <c r="F233" s="3">
        <f t="array" ref="F233">IFERROR(INDEX(world_pop!G:G,MATCH(C233,world_pop!F:F,0)),"NA")</f>
        <v>54998</v>
      </c>
      <c r="G233" s="3">
        <f t="array" ref="G233">IFERROR(INDEX(mda_last_round!C:C,MATCH(C233,mda_last_round!E:E,0)),"NA")</f>
        <v>71396</v>
      </c>
      <c r="H233" s="3">
        <f t="array" ref="H233">IFERROR(INDEX(immuization!E:E,MATCH(C233,immuization!C:C,0)),"NA")</f>
        <v>67539</v>
      </c>
    </row>
    <row r="234">
      <c r="A234" s="1" t="s">
        <v>463</v>
      </c>
      <c r="B234" s="1" t="s">
        <v>480</v>
      </c>
      <c r="C234" s="1" t="s">
        <v>481</v>
      </c>
      <c r="D234" s="3" t="str">
        <f t="array" ref="D234">IFERROR(INDEX(ie_records!D:D,MATCH(C234,ie_records!C:C,0)),"NA")</f>
        <v>NA</v>
      </c>
      <c r="E234" s="3">
        <f t="array" ref="E234">IFERROR(INDEX(enumeration_kad_bau_ada_gombe_y!D:D,MATCH(C234,enumeration_kad_bau_ada_gombe_y!B:B,0)),"NA")</f>
        <v>75499</v>
      </c>
      <c r="F234" s="3">
        <f t="array" ref="F234">IFERROR(INDEX(world_pop!G:G,MATCH(C234,world_pop!F:F,0)),"NA")</f>
        <v>52119</v>
      </c>
      <c r="G234" s="3">
        <f t="array" ref="G234">IFERROR(INDEX(mda_last_round!C:C,MATCH(C234,mda_last_round!E:E,0)),"NA")</f>
        <v>0</v>
      </c>
      <c r="H234" s="3">
        <f t="array" ref="H234">IFERROR(INDEX(immuization!E:E,MATCH(C234,immuization!C:C,0)),"NA")</f>
        <v>105561</v>
      </c>
    </row>
    <row r="235">
      <c r="A235" s="1" t="s">
        <v>463</v>
      </c>
      <c r="B235" s="1" t="s">
        <v>482</v>
      </c>
      <c r="C235" s="1" t="s">
        <v>483</v>
      </c>
      <c r="D235" s="3" t="str">
        <f t="array" ref="D235">IFERROR(INDEX(ie_records!D:D,MATCH(C235,ie_records!C:C,0)),"NA")</f>
        <v>NA</v>
      </c>
      <c r="E235" s="3">
        <f t="array" ref="E235">IFERROR(INDEX(enumeration_kad_bau_ada_gombe_y!D:D,MATCH(C235,enumeration_kad_bau_ada_gombe_y!B:B,0)),"NA")</f>
        <v>51804</v>
      </c>
      <c r="F235" s="3">
        <f t="array" ref="F235">IFERROR(INDEX(world_pop!G:G,MATCH(C235,world_pop!F:F,0)),"NA")</f>
        <v>28599</v>
      </c>
      <c r="G235" s="3">
        <f t="array" ref="G235">IFERROR(INDEX(mda_last_round!C:C,MATCH(C235,mda_last_round!E:E,0)),"NA")</f>
        <v>0</v>
      </c>
      <c r="H235" s="3">
        <f t="array" ref="H235">IFERROR(INDEX(immuization!E:E,MATCH(C235,immuization!C:C,0)),"NA")</f>
        <v>56385</v>
      </c>
    </row>
    <row r="236">
      <c r="A236" s="1" t="s">
        <v>463</v>
      </c>
      <c r="B236" s="1" t="s">
        <v>484</v>
      </c>
      <c r="C236" s="1" t="s">
        <v>485</v>
      </c>
      <c r="D236" s="3" t="str">
        <f t="array" ref="D236">IFERROR(INDEX(ie_records!D:D,MATCH(C236,ie_records!C:C,0)),"NA")</f>
        <v>NA</v>
      </c>
      <c r="E236" s="3">
        <f t="array" ref="E236">IFERROR(INDEX(enumeration_kad_bau_ada_gombe_y!D:D,MATCH(C236,enumeration_kad_bau_ada_gombe_y!B:B,0)),"NA")</f>
        <v>36518</v>
      </c>
      <c r="F236" s="3">
        <f t="array" ref="F236">IFERROR(INDEX(world_pop!G:G,MATCH(C236,world_pop!F:F,0)),"NA")</f>
        <v>20223</v>
      </c>
      <c r="G236" s="3">
        <f t="array" ref="G236">IFERROR(INDEX(mda_last_round!C:C,MATCH(C236,mda_last_round!E:E,0)),"NA")</f>
        <v>0</v>
      </c>
      <c r="H236" s="3">
        <f t="array" ref="H236">IFERROR(INDEX(immuization!E:E,MATCH(C236,immuization!C:C,0)),"NA")</f>
        <v>44575</v>
      </c>
    </row>
    <row r="237">
      <c r="A237" s="1" t="s">
        <v>463</v>
      </c>
      <c r="B237" s="1" t="s">
        <v>486</v>
      </c>
      <c r="C237" s="1" t="s">
        <v>487</v>
      </c>
      <c r="D237" s="3" t="str">
        <f t="array" ref="D237">IFERROR(INDEX(ie_records!D:D,MATCH(C237,ie_records!C:C,0)),"NA")</f>
        <v>NA</v>
      </c>
      <c r="E237" s="3">
        <f t="array" ref="E237">IFERROR(INDEX(enumeration_kad_bau_ada_gombe_y!D:D,MATCH(C237,enumeration_kad_bau_ada_gombe_y!B:B,0)),"NA")</f>
        <v>75541</v>
      </c>
      <c r="F237" s="3">
        <f t="array" ref="F237">IFERROR(INDEX(world_pop!G:G,MATCH(C237,world_pop!F:F,0)),"NA")</f>
        <v>39440</v>
      </c>
      <c r="G237" s="3">
        <f t="array" ref="G237">IFERROR(INDEX(mda_last_round!C:C,MATCH(C237,mda_last_round!E:E,0)),"NA")</f>
        <v>62299</v>
      </c>
      <c r="H237" s="3">
        <f t="array" ref="H237">IFERROR(INDEX(immuization!E:E,MATCH(C237,immuization!C:C,0)),"NA")</f>
        <v>61034</v>
      </c>
    </row>
    <row r="238">
      <c r="A238" s="1" t="s">
        <v>463</v>
      </c>
      <c r="B238" s="1" t="s">
        <v>488</v>
      </c>
      <c r="C238" s="1" t="s">
        <v>489</v>
      </c>
      <c r="D238" s="3" t="str">
        <f t="array" ref="D238">IFERROR(INDEX(ie_records!D:D,MATCH(C238,ie_records!C:C,0)),"NA")</f>
        <v>NA</v>
      </c>
      <c r="E238" s="3">
        <f t="array" ref="E238">IFERROR(INDEX(enumeration_kad_bau_ada_gombe_y!D:D,MATCH(C238,enumeration_kad_bau_ada_gombe_y!B:B,0)),"NA")</f>
        <v>51993</v>
      </c>
      <c r="F238" s="3">
        <f t="array" ref="F238">IFERROR(INDEX(world_pop!G:G,MATCH(C238,world_pop!F:F,0)),"NA")</f>
        <v>39922</v>
      </c>
      <c r="G238" s="3">
        <f t="array" ref="G238">IFERROR(INDEX(mda_last_round!C:C,MATCH(C238,mda_last_round!E:E,0)),"NA")</f>
        <v>46535</v>
      </c>
      <c r="H238" s="3">
        <f t="array" ref="H238">IFERROR(INDEX(immuization!E:E,MATCH(C238,immuization!C:C,0)),"NA")</f>
        <v>65542</v>
      </c>
    </row>
    <row r="239">
      <c r="A239" s="1" t="s">
        <v>463</v>
      </c>
      <c r="B239" s="1" t="s">
        <v>490</v>
      </c>
      <c r="C239" s="1" t="s">
        <v>491</v>
      </c>
      <c r="D239" s="3" t="str">
        <f t="array" ref="D239">IFERROR(INDEX(ie_records!D:D,MATCH(C239,ie_records!C:C,0)),"NA")</f>
        <v>NA</v>
      </c>
      <c r="E239" s="3">
        <f t="array" ref="E239">IFERROR(INDEX(enumeration_kad_bau_ada_gombe_y!D:D,MATCH(C239,enumeration_kad_bau_ada_gombe_y!B:B,0)),"NA")</f>
        <v>247154</v>
      </c>
      <c r="F239" s="3">
        <f t="array" ref="F239">IFERROR(INDEX(world_pop!G:G,MATCH(C239,world_pop!F:F,0)),"NA")</f>
        <v>111121</v>
      </c>
      <c r="G239" s="3">
        <f t="array" ref="G239">IFERROR(INDEX(mda_last_round!C:C,MATCH(C239,mda_last_round!E:E,0)),"NA")</f>
        <v>207295</v>
      </c>
      <c r="H239" s="3">
        <f t="array" ref="H239">IFERROR(INDEX(immuization!E:E,MATCH(C239,immuization!C:C,0)),"NA")</f>
        <v>239110</v>
      </c>
    </row>
    <row r="240">
      <c r="A240" s="1" t="s">
        <v>463</v>
      </c>
      <c r="B240" s="1" t="s">
        <v>492</v>
      </c>
      <c r="C240" s="1" t="s">
        <v>493</v>
      </c>
      <c r="D240" s="3" t="str">
        <f t="array" ref="D240">IFERROR(INDEX(ie_records!D:D,MATCH(C240,ie_records!C:C,0)),"NA")</f>
        <v>NA</v>
      </c>
      <c r="E240" s="3">
        <f t="array" ref="E240">IFERROR(INDEX(enumeration_kad_bau_ada_gombe_y!D:D,MATCH(C240,enumeration_kad_bau_ada_gombe_y!B:B,0)),"NA")</f>
        <v>52544</v>
      </c>
      <c r="F240" s="3">
        <f t="array" ref="F240">IFERROR(INDEX(world_pop!G:G,MATCH(C240,world_pop!F:F,0)),"NA")</f>
        <v>23631</v>
      </c>
      <c r="G240" s="3">
        <f t="array" ref="G240">IFERROR(INDEX(mda_last_round!C:C,MATCH(C240,mda_last_round!E:E,0)),"NA")</f>
        <v>30591</v>
      </c>
      <c r="H240" s="3">
        <f t="array" ref="H240">IFERROR(INDEX(immuization!E:E,MATCH(C240,immuization!C:C,0)),"NA")</f>
        <v>42207</v>
      </c>
    </row>
    <row r="241">
      <c r="A241" s="1" t="s">
        <v>463</v>
      </c>
      <c r="B241" s="1" t="s">
        <v>494</v>
      </c>
      <c r="C241" s="1" t="s">
        <v>495</v>
      </c>
      <c r="D241" s="3" t="str">
        <f t="array" ref="D241">IFERROR(INDEX(ie_records!D:D,MATCH(C241,ie_records!C:C,0)),"NA")</f>
        <v>NA</v>
      </c>
      <c r="E241" s="3">
        <f t="array" ref="E241">IFERROR(INDEX(enumeration_kad_bau_ada_gombe_y!D:D,MATCH(C241,enumeration_kad_bau_ada_gombe_y!B:B,0)),"NA")</f>
        <v>74719</v>
      </c>
      <c r="F241" s="3">
        <f t="array" ref="F241">IFERROR(INDEX(world_pop!G:G,MATCH(C241,world_pop!F:F,0)),"NA")</f>
        <v>46146</v>
      </c>
      <c r="G241" s="3">
        <f t="array" ref="G241">IFERROR(INDEX(mda_last_round!C:C,MATCH(C241,mda_last_round!E:E,0)),"NA")</f>
        <v>0</v>
      </c>
      <c r="H241" s="3">
        <f t="array" ref="H241">IFERROR(INDEX(immuization!E:E,MATCH(C241,immuization!C:C,0)),"NA")</f>
        <v>57266</v>
      </c>
    </row>
    <row r="242">
      <c r="A242" s="1" t="s">
        <v>463</v>
      </c>
      <c r="B242" s="1" t="s">
        <v>496</v>
      </c>
      <c r="C242" s="1" t="s">
        <v>497</v>
      </c>
      <c r="D242" s="3" t="str">
        <f t="array" ref="D242">IFERROR(INDEX(ie_records!D:D,MATCH(C242,ie_records!C:C,0)),"NA")</f>
        <v>NA</v>
      </c>
      <c r="E242" s="3">
        <f t="array" ref="E242">IFERROR(INDEX(enumeration_kad_bau_ada_gombe_y!D:D,MATCH(C242,enumeration_kad_bau_ada_gombe_y!B:B,0)),"NA")</f>
        <v>60764</v>
      </c>
      <c r="F242" s="3">
        <f t="array" ref="F242">IFERROR(INDEX(world_pop!G:G,MATCH(C242,world_pop!F:F,0)),"NA")</f>
        <v>47798</v>
      </c>
      <c r="G242" s="3">
        <f t="array" ref="G242">IFERROR(INDEX(mda_last_round!C:C,MATCH(C242,mda_last_round!E:E,0)),"NA")</f>
        <v>0</v>
      </c>
      <c r="H242" s="3">
        <f t="array" ref="H242">IFERROR(INDEX(immuization!E:E,MATCH(C242,immuization!C:C,0)),"NA")</f>
        <v>58999</v>
      </c>
    </row>
    <row r="243">
      <c r="A243" s="1" t="s">
        <v>498</v>
      </c>
      <c r="B243" s="1" t="s">
        <v>499</v>
      </c>
      <c r="C243" s="1" t="s">
        <v>500</v>
      </c>
      <c r="D243" s="3">
        <f t="array" ref="D243">IFERROR(INDEX(ie_records!D:D,MATCH(C243,ie_records!C:C,0)),"NA")</f>
        <v>37457</v>
      </c>
      <c r="E243" s="3" t="str">
        <f t="array" ref="E243">IFERROR(INDEX(enumeration_kad_bau_ada_gombe_y!D:D,MATCH(C243,enumeration_kad_bau_ada_gombe_y!B:B,0)),"NA")</f>
        <v>NA</v>
      </c>
      <c r="F243" s="3">
        <f t="array" ref="F243">IFERROR(INDEX(world_pop!G:G,MATCH(C243,world_pop!F:F,0)),"NA")</f>
        <v>17825</v>
      </c>
      <c r="G243" s="3" t="str">
        <f t="array" ref="G243">IFERROR(INDEX(mda_last_round!C:C,MATCH(C243,mda_last_round!E:E,0)),"NA")</f>
        <v>NA</v>
      </c>
      <c r="H243" s="3">
        <f t="array" ref="H243">IFERROR(INDEX(immuization!E:E,MATCH(C243,immuization!C:C,0)),"NA")</f>
        <v>152592</v>
      </c>
      <c r="I243" s="5"/>
    </row>
    <row r="244">
      <c r="A244" s="1" t="s">
        <v>498</v>
      </c>
      <c r="B244" s="1" t="s">
        <v>501</v>
      </c>
      <c r="C244" s="1" t="s">
        <v>502</v>
      </c>
      <c r="D244" s="3">
        <f t="array" ref="D244">IFERROR(INDEX(ie_records!D:D,MATCH(C244,ie_records!C:C,0)),"NA")</f>
        <v>43387</v>
      </c>
      <c r="E244" s="3" t="str">
        <f t="array" ref="E244">IFERROR(INDEX(enumeration_kad_bau_ada_gombe_y!D:D,MATCH(C244,enumeration_kad_bau_ada_gombe_y!B:B,0)),"NA")</f>
        <v>NA</v>
      </c>
      <c r="F244" s="3">
        <f t="array" ref="F244">IFERROR(INDEX(world_pop!G:G,MATCH(C244,world_pop!F:F,0)),"NA")</f>
        <v>21273</v>
      </c>
      <c r="G244" s="3" t="str">
        <f t="array" ref="G244">IFERROR(INDEX(mda_last_round!C:C,MATCH(C244,mda_last_round!E:E,0)),"NA")</f>
        <v>NA</v>
      </c>
      <c r="H244" s="3">
        <f t="array" ref="H244">IFERROR(INDEX(immuization!E:E,MATCH(C244,immuization!C:C,0)),"NA")</f>
        <v>113177</v>
      </c>
      <c r="I244" s="5"/>
    </row>
    <row r="245">
      <c r="A245" s="1" t="s">
        <v>498</v>
      </c>
      <c r="B245" s="1" t="s">
        <v>503</v>
      </c>
      <c r="C245" s="3" t="s">
        <v>504</v>
      </c>
      <c r="D245" s="3">
        <f t="array" ref="D245">IFERROR(INDEX(ie_records!D:D,MATCH(C245,ie_records!C:C,0)),"NA")</f>
        <v>70759</v>
      </c>
      <c r="E245" s="3" t="str">
        <f t="array" ref="E245">IFERROR(INDEX(enumeration_kad_bau_ada_gombe_y!D:D,MATCH(C245,enumeration_kad_bau_ada_gombe_y!B:B,0)),"NA")</f>
        <v>NA</v>
      </c>
      <c r="F245" s="3">
        <f t="array" ref="F245">IFERROR(INDEX(world_pop!G:G,MATCH(C245,world_pop!F:F,0)),"NA")</f>
        <v>33255</v>
      </c>
      <c r="G245" s="3" t="str">
        <f t="array" ref="G245">IFERROR(INDEX(mda_last_round!C:C,MATCH(C245,mda_last_round!E:E,0)),"NA")</f>
        <v>NA</v>
      </c>
      <c r="H245" s="3">
        <f t="array" ref="H245">IFERROR(INDEX(immuization!E:E,MATCH(C245,immuization!C:C,0)),"NA")</f>
        <v>163501</v>
      </c>
      <c r="I245" s="5"/>
    </row>
    <row r="246">
      <c r="A246" s="1" t="s">
        <v>498</v>
      </c>
      <c r="B246" s="1" t="s">
        <v>505</v>
      </c>
      <c r="C246" s="1" t="s">
        <v>506</v>
      </c>
      <c r="D246" s="3">
        <f t="array" ref="D246">IFERROR(INDEX(ie_records!D:D,MATCH(C246,ie_records!C:C,0)),"NA")</f>
        <v>49602</v>
      </c>
      <c r="E246" s="3" t="str">
        <f t="array" ref="E246">IFERROR(INDEX(enumeration_kad_bau_ada_gombe_y!D:D,MATCH(C246,enumeration_kad_bau_ada_gombe_y!B:B,0)),"NA")</f>
        <v>NA</v>
      </c>
      <c r="F246" s="3">
        <f t="array" ref="F246">IFERROR(INDEX(world_pop!G:G,MATCH(C246,world_pop!F:F,0)),"NA")</f>
        <v>31542</v>
      </c>
      <c r="G246" s="3" t="str">
        <f t="array" ref="G246">IFERROR(INDEX(mda_last_round!C:C,MATCH(C246,mda_last_round!E:E,0)),"NA")</f>
        <v>NA</v>
      </c>
      <c r="H246" s="3">
        <f t="array" ref="H246">IFERROR(INDEX(immuization!E:E,MATCH(C246,immuization!C:C,0)),"NA")</f>
        <v>187838</v>
      </c>
      <c r="I246" s="5"/>
    </row>
    <row r="247">
      <c r="A247" s="1" t="s">
        <v>498</v>
      </c>
      <c r="B247" s="1" t="s">
        <v>507</v>
      </c>
      <c r="C247" s="1" t="s">
        <v>508</v>
      </c>
      <c r="D247" s="3">
        <f t="array" ref="D247">IFERROR(INDEX(ie_records!D:D,MATCH(C247,ie_records!C:C,0)),"NA")</f>
        <v>57777</v>
      </c>
      <c r="E247" s="3" t="str">
        <f t="array" ref="E247">IFERROR(INDEX(enumeration_kad_bau_ada_gombe_y!D:D,MATCH(C247,enumeration_kad_bau_ada_gombe_y!B:B,0)),"NA")</f>
        <v>NA</v>
      </c>
      <c r="F247" s="3">
        <f t="array" ref="F247">IFERROR(INDEX(world_pop!G:G,MATCH(C247,world_pop!F:F,0)),"NA")</f>
        <v>68606</v>
      </c>
      <c r="G247" s="3" t="str">
        <f t="array" ref="G247">IFERROR(INDEX(mda_last_round!C:C,MATCH(C247,mda_last_round!E:E,0)),"NA")</f>
        <v>NA</v>
      </c>
      <c r="H247" s="3">
        <f t="array" ref="H247">IFERROR(INDEX(immuization!E:E,MATCH(C247,immuization!C:C,0)),"NA")</f>
        <v>275729</v>
      </c>
      <c r="I247" s="5"/>
    </row>
    <row r="248">
      <c r="A248" s="1" t="s">
        <v>498</v>
      </c>
      <c r="B248" s="1" t="s">
        <v>509</v>
      </c>
      <c r="C248" s="1" t="s">
        <v>510</v>
      </c>
      <c r="D248" s="3">
        <f t="array" ref="D248">IFERROR(INDEX(ie_records!D:D,MATCH(C248,ie_records!C:C,0)),"NA")</f>
        <v>62429</v>
      </c>
      <c r="E248" s="3" t="str">
        <f t="array" ref="E248">IFERROR(INDEX(enumeration_kad_bau_ada_gombe_y!D:D,MATCH(C248,enumeration_kad_bau_ada_gombe_y!B:B,0)),"NA")</f>
        <v>NA</v>
      </c>
      <c r="F248" s="3">
        <f t="array" ref="F248">IFERROR(INDEX(world_pop!G:G,MATCH(C248,world_pop!F:F,0)),"NA")</f>
        <v>44244</v>
      </c>
      <c r="G248" s="3" t="str">
        <f t="array" ref="G248">IFERROR(INDEX(mda_last_round!C:C,MATCH(C248,mda_last_round!E:E,0)),"NA")</f>
        <v>NA</v>
      </c>
      <c r="H248" s="3">
        <f t="array" ref="H248">IFERROR(INDEX(immuization!E:E,MATCH(C248,immuization!C:C,0)),"NA")</f>
        <v>197678</v>
      </c>
      <c r="I248" s="5"/>
    </row>
    <row r="249">
      <c r="A249" s="1" t="s">
        <v>498</v>
      </c>
      <c r="B249" s="1" t="s">
        <v>511</v>
      </c>
      <c r="C249" s="1" t="s">
        <v>512</v>
      </c>
      <c r="D249" s="3">
        <f t="array" ref="D249">IFERROR(INDEX(ie_records!D:D,MATCH(C249,ie_records!C:C,0)),"NA")</f>
        <v>106955</v>
      </c>
      <c r="E249" s="3" t="str">
        <f t="array" ref="E249">IFERROR(INDEX(enumeration_kad_bau_ada_gombe_y!D:D,MATCH(C249,enumeration_kad_bau_ada_gombe_y!B:B,0)),"NA")</f>
        <v>NA</v>
      </c>
      <c r="F249" s="3">
        <f t="array" ref="F249">IFERROR(INDEX(world_pop!G:G,MATCH(C249,world_pop!F:F,0)),"NA")</f>
        <v>101414</v>
      </c>
      <c r="G249" s="3" t="str">
        <f t="array" ref="G249">IFERROR(INDEX(mda_last_round!C:C,MATCH(C249,mda_last_round!E:E,0)),"NA")</f>
        <v>NA</v>
      </c>
      <c r="H249" s="3">
        <f t="array" ref="H249">IFERROR(INDEX(immuization!E:E,MATCH(C249,immuization!C:C,0)),"NA")</f>
        <v>475884</v>
      </c>
      <c r="I249" s="5"/>
    </row>
    <row r="250">
      <c r="A250" s="1" t="s">
        <v>498</v>
      </c>
      <c r="B250" s="1" t="s">
        <v>513</v>
      </c>
      <c r="C250" s="1" t="s">
        <v>514</v>
      </c>
      <c r="D250" s="3">
        <f t="array" ref="D250">IFERROR(INDEX(ie_records!D:D,MATCH(C250,ie_records!C:C,0)),"NA")</f>
        <v>80435</v>
      </c>
      <c r="E250" s="3" t="str">
        <f t="array" ref="E250">IFERROR(INDEX(enumeration_kad_bau_ada_gombe_y!D:D,MATCH(C250,enumeration_kad_bau_ada_gombe_y!B:B,0)),"NA")</f>
        <v>NA</v>
      </c>
      <c r="F250" s="3">
        <f t="array" ref="F250">IFERROR(INDEX(world_pop!G:G,MATCH(C250,world_pop!F:F,0)),"NA")</f>
        <v>52326</v>
      </c>
      <c r="G250" s="3" t="str">
        <f t="array" ref="G250">IFERROR(INDEX(mda_last_round!C:C,MATCH(C250,mda_last_round!E:E,0)),"NA")</f>
        <v>NA</v>
      </c>
      <c r="H250" s="3">
        <f t="array" ref="H250">IFERROR(INDEX(immuization!E:E,MATCH(C250,immuization!C:C,0)),"NA")</f>
        <v>220394</v>
      </c>
      <c r="I250" s="5"/>
    </row>
    <row r="251">
      <c r="A251" s="1" t="s">
        <v>498</v>
      </c>
      <c r="B251" s="1" t="s">
        <v>515</v>
      </c>
      <c r="C251" s="1" t="s">
        <v>516</v>
      </c>
      <c r="D251" s="3">
        <f t="array" ref="D251">IFERROR(INDEX(ie_records!D:D,MATCH(C251,ie_records!C:C,0)),"NA")</f>
        <v>41874</v>
      </c>
      <c r="E251" s="3" t="str">
        <f t="array" ref="E251">IFERROR(INDEX(enumeration_kad_bau_ada_gombe_y!D:D,MATCH(C251,enumeration_kad_bau_ada_gombe_y!B:B,0)),"NA")</f>
        <v>NA</v>
      </c>
      <c r="F251" s="3">
        <f t="array" ref="F251">IFERROR(INDEX(world_pop!G:G,MATCH(C251,world_pop!F:F,0)),"NA")</f>
        <v>27754</v>
      </c>
      <c r="G251" s="3" t="str">
        <f t="array" ref="G251">IFERROR(INDEX(mda_last_round!C:C,MATCH(C251,mda_last_round!E:E,0)),"NA")</f>
        <v>NA</v>
      </c>
      <c r="H251" s="3">
        <f t="array" ref="H251">IFERROR(INDEX(immuization!E:E,MATCH(C251,immuization!C:C,0)),"NA")</f>
        <v>169992</v>
      </c>
      <c r="I251" s="5"/>
    </row>
    <row r="252">
      <c r="A252" s="1" t="s">
        <v>498</v>
      </c>
      <c r="B252" s="1" t="s">
        <v>517</v>
      </c>
      <c r="C252" s="1" t="s">
        <v>518</v>
      </c>
      <c r="D252" s="3">
        <f t="array" ref="D252">IFERROR(INDEX(ie_records!D:D,MATCH(C252,ie_records!C:C,0)),"NA")</f>
        <v>51588</v>
      </c>
      <c r="E252" s="3" t="str">
        <f t="array" ref="E252">IFERROR(INDEX(enumeration_kad_bau_ada_gombe_y!D:D,MATCH(C252,enumeration_kad_bau_ada_gombe_y!B:B,0)),"NA")</f>
        <v>NA</v>
      </c>
      <c r="F252" s="3">
        <f t="array" ref="F252">IFERROR(INDEX(world_pop!G:G,MATCH(C252,world_pop!F:F,0)),"NA")</f>
        <v>58606</v>
      </c>
      <c r="G252" s="3" t="str">
        <f t="array" ref="G252">IFERROR(INDEX(mda_last_round!C:C,MATCH(C252,mda_last_round!E:E,0)),"NA")</f>
        <v>NA</v>
      </c>
      <c r="H252" s="3">
        <f t="array" ref="H252">IFERROR(INDEX(immuization!E:E,MATCH(C252,immuization!C:C,0)),"NA")</f>
        <v>257926</v>
      </c>
      <c r="I252" s="5"/>
    </row>
    <row r="253">
      <c r="A253" s="1" t="s">
        <v>498</v>
      </c>
      <c r="B253" s="1" t="s">
        <v>519</v>
      </c>
      <c r="C253" s="1" t="s">
        <v>520</v>
      </c>
      <c r="D253" s="3">
        <f t="array" ref="D253">IFERROR(INDEX(ie_records!D:D,MATCH(C253,ie_records!C:C,0)),"NA")</f>
        <v>54110</v>
      </c>
      <c r="E253" s="3" t="str">
        <f t="array" ref="E253">IFERROR(INDEX(enumeration_kad_bau_ada_gombe_y!D:D,MATCH(C253,enumeration_kad_bau_ada_gombe_y!B:B,0)),"NA")</f>
        <v>NA</v>
      </c>
      <c r="F253" s="3">
        <f t="array" ref="F253">IFERROR(INDEX(world_pop!G:G,MATCH(C253,world_pop!F:F,0)),"NA")</f>
        <v>20082</v>
      </c>
      <c r="G253" s="3" t="str">
        <f t="array" ref="G253">IFERROR(INDEX(mda_last_round!C:C,MATCH(C253,mda_last_round!E:E,0)),"NA")</f>
        <v>NA</v>
      </c>
      <c r="H253" s="3">
        <f t="array" ref="H253">IFERROR(INDEX(immuization!E:E,MATCH(C253,immuization!C:C,0)),"NA")</f>
        <v>108648</v>
      </c>
      <c r="I253" s="5"/>
    </row>
    <row r="254">
      <c r="A254" s="1" t="s">
        <v>498</v>
      </c>
      <c r="B254" s="1" t="s">
        <v>521</v>
      </c>
      <c r="C254" s="1" t="s">
        <v>522</v>
      </c>
      <c r="D254" s="3">
        <f t="array" ref="D254">IFERROR(INDEX(ie_records!D:D,MATCH(C254,ie_records!C:C,0)),"NA")</f>
        <v>63853</v>
      </c>
      <c r="E254" s="3" t="str">
        <f t="array" ref="E254">IFERROR(INDEX(enumeration_kad_bau_ada_gombe_y!D:D,MATCH(C254,enumeration_kad_bau_ada_gombe_y!B:B,0)),"NA")</f>
        <v>NA</v>
      </c>
      <c r="F254" s="3">
        <f t="array" ref="F254">IFERROR(INDEX(world_pop!G:G,MATCH(C254,world_pop!F:F,0)),"NA")</f>
        <v>36133</v>
      </c>
      <c r="G254" s="3" t="str">
        <f t="array" ref="G254">IFERROR(INDEX(mda_last_round!C:C,MATCH(C254,mda_last_round!E:E,0)),"NA")</f>
        <v>NA</v>
      </c>
      <c r="H254" s="3">
        <f t="array" ref="H254">IFERROR(INDEX(immuization!E:E,MATCH(C254,immuization!C:C,0)),"NA")</f>
        <v>178771</v>
      </c>
      <c r="I254" s="5"/>
    </row>
    <row r="255">
      <c r="A255" s="1" t="s">
        <v>498</v>
      </c>
      <c r="B255" s="1" t="s">
        <v>523</v>
      </c>
      <c r="C255" s="1" t="s">
        <v>524</v>
      </c>
      <c r="D255" s="3">
        <f t="array" ref="D255">IFERROR(INDEX(ie_records!D:D,MATCH(C255,ie_records!C:C,0)),"NA")</f>
        <v>70504</v>
      </c>
      <c r="E255" s="3" t="str">
        <f t="array" ref="E255">IFERROR(INDEX(enumeration_kad_bau_ada_gombe_y!D:D,MATCH(C255,enumeration_kad_bau_ada_gombe_y!B:B,0)),"NA")</f>
        <v>NA</v>
      </c>
      <c r="F255" s="3">
        <f t="array" ref="F255">IFERROR(INDEX(world_pop!G:G,MATCH(C255,world_pop!F:F,0)),"NA")</f>
        <v>63125</v>
      </c>
      <c r="G255" s="3" t="str">
        <f t="array" ref="G255">IFERROR(INDEX(mda_last_round!C:C,MATCH(C255,mda_last_round!E:E,0)),"NA")</f>
        <v>NA</v>
      </c>
      <c r="H255" s="3">
        <f t="array" ref="H255">IFERROR(INDEX(immuization!E:E,MATCH(C255,immuization!C:C,0)),"NA")</f>
        <v>238861</v>
      </c>
      <c r="I255" s="5"/>
    </row>
    <row r="256">
      <c r="A256" s="1" t="s">
        <v>498</v>
      </c>
      <c r="B256" s="1" t="s">
        <v>525</v>
      </c>
      <c r="C256" s="1" t="s">
        <v>526</v>
      </c>
      <c r="D256" s="3">
        <f t="array" ref="D256">IFERROR(INDEX(ie_records!D:D,MATCH(C256,ie_records!C:C,0)),"NA")</f>
        <v>61731</v>
      </c>
      <c r="E256" s="3" t="str">
        <f t="array" ref="E256">IFERROR(INDEX(enumeration_kad_bau_ada_gombe_y!D:D,MATCH(C256,enumeration_kad_bau_ada_gombe_y!B:B,0)),"NA")</f>
        <v>NA</v>
      </c>
      <c r="F256" s="3">
        <f t="array" ref="F256">IFERROR(INDEX(world_pop!G:G,MATCH(C256,world_pop!F:F,0)),"NA")</f>
        <v>43646</v>
      </c>
      <c r="G256" s="3" t="str">
        <f t="array" ref="G256">IFERROR(INDEX(mda_last_round!C:C,MATCH(C256,mda_last_round!E:E,0)),"NA")</f>
        <v>NA</v>
      </c>
      <c r="H256" s="3">
        <f t="array" ref="H256">IFERROR(INDEX(immuization!E:E,MATCH(C256,immuization!C:C,0)),"NA")</f>
        <v>225364</v>
      </c>
      <c r="I256" s="5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527</v>
      </c>
      <c r="B2" s="7" t="s">
        <v>528</v>
      </c>
      <c r="C2" s="7" t="s">
        <v>529</v>
      </c>
      <c r="D2" s="7" t="s">
        <v>530</v>
      </c>
      <c r="E2" s="7" t="s">
        <v>531</v>
      </c>
      <c r="F2" s="7" t="s">
        <v>532</v>
      </c>
      <c r="G2" s="7" t="s">
        <v>533</v>
      </c>
      <c r="H2" s="7" t="s">
        <v>534</v>
      </c>
      <c r="I2" s="7" t="s">
        <v>535</v>
      </c>
    </row>
    <row r="3">
      <c r="A3" s="6" t="s">
        <v>8</v>
      </c>
      <c r="B3" s="8" t="s">
        <v>536</v>
      </c>
      <c r="C3" s="9">
        <v>1430472.0</v>
      </c>
      <c r="D3" s="9">
        <v>1022029.0</v>
      </c>
      <c r="E3" s="9">
        <v>1153407.0</v>
      </c>
      <c r="F3" s="9">
        <v>1283891.0</v>
      </c>
      <c r="G3" s="9">
        <v>1430472.0</v>
      </c>
      <c r="H3" s="8" t="s">
        <v>537</v>
      </c>
      <c r="I3" s="10">
        <f>+24%</f>
        <v>0.24</v>
      </c>
    </row>
    <row r="4">
      <c r="A4" s="6" t="s">
        <v>51</v>
      </c>
      <c r="B4" s="8" t="s">
        <v>536</v>
      </c>
      <c r="C4" s="9">
        <v>1419998.0</v>
      </c>
      <c r="D4" s="9">
        <v>1640980.0</v>
      </c>
      <c r="E4" s="9">
        <v>1248345.0</v>
      </c>
      <c r="F4" s="9">
        <v>2159570.0</v>
      </c>
      <c r="G4" s="9">
        <v>1419998.0</v>
      </c>
      <c r="H4" s="8" t="s">
        <v>537</v>
      </c>
      <c r="I4" s="10">
        <f>+13.8%</f>
        <v>0.138</v>
      </c>
    </row>
    <row r="5">
      <c r="A5" s="6" t="s">
        <v>91</v>
      </c>
      <c r="B5" s="8" t="s">
        <v>536</v>
      </c>
      <c r="C5" s="9">
        <v>904403.0</v>
      </c>
      <c r="D5" s="9">
        <v>787314.0</v>
      </c>
      <c r="E5" s="9">
        <v>734272.0</v>
      </c>
      <c r="F5" s="9">
        <v>755551.0</v>
      </c>
      <c r="G5" s="9">
        <v>904403.0</v>
      </c>
      <c r="H5" s="8" t="s">
        <v>537</v>
      </c>
      <c r="I5" s="10">
        <f>+23.2%</f>
        <v>0.232</v>
      </c>
    </row>
    <row r="6">
      <c r="A6" s="6" t="s">
        <v>113</v>
      </c>
      <c r="B6" s="9">
        <v>1205775.0</v>
      </c>
      <c r="C6" s="8" t="s">
        <v>536</v>
      </c>
      <c r="D6" s="9">
        <v>1473765.0</v>
      </c>
      <c r="E6" s="9">
        <v>1103670.0</v>
      </c>
      <c r="F6" s="9">
        <v>1803472.0</v>
      </c>
      <c r="G6" s="9">
        <v>1205775.0</v>
      </c>
      <c r="H6" s="8" t="s">
        <v>538</v>
      </c>
      <c r="I6" s="10">
        <f>+9.3%</f>
        <v>0.093</v>
      </c>
    </row>
    <row r="7">
      <c r="A7" s="6" t="s">
        <v>168</v>
      </c>
      <c r="B7" s="8" t="s">
        <v>536</v>
      </c>
      <c r="C7" s="9">
        <v>2872200.0</v>
      </c>
      <c r="D7" s="9">
        <v>1891789.0</v>
      </c>
      <c r="E7" s="9">
        <v>2694251.0</v>
      </c>
      <c r="F7" s="9">
        <v>2772581.0</v>
      </c>
      <c r="G7" s="9">
        <v>2872200.0</v>
      </c>
      <c r="H7" s="8" t="s">
        <v>537</v>
      </c>
      <c r="I7" s="10">
        <f>+6.6%</f>
        <v>0.066</v>
      </c>
    </row>
    <row r="8">
      <c r="A8" s="6" t="s">
        <v>215</v>
      </c>
      <c r="B8" s="8" t="s">
        <v>536</v>
      </c>
      <c r="C8" s="8" t="s">
        <v>536</v>
      </c>
      <c r="D8" s="9">
        <v>3133275.0</v>
      </c>
      <c r="E8" s="9">
        <v>2147892.0</v>
      </c>
      <c r="F8" s="9">
        <v>3321445.0</v>
      </c>
      <c r="G8" s="9">
        <v>3133275.0</v>
      </c>
      <c r="H8" s="8" t="s">
        <v>530</v>
      </c>
      <c r="I8" s="10">
        <f>+45.9%</f>
        <v>0.459</v>
      </c>
    </row>
    <row r="9">
      <c r="A9" s="6" t="s">
        <v>305</v>
      </c>
      <c r="B9" s="9">
        <v>1802995.0</v>
      </c>
      <c r="C9" s="8" t="s">
        <v>536</v>
      </c>
      <c r="D9" s="9">
        <v>2079475.0</v>
      </c>
      <c r="E9" s="9">
        <v>1776582.0</v>
      </c>
      <c r="F9" s="9">
        <v>2606673.0</v>
      </c>
      <c r="G9" s="9">
        <v>1802995.0</v>
      </c>
      <c r="H9" s="8" t="s">
        <v>538</v>
      </c>
      <c r="I9" s="10">
        <f>+1.5%</f>
        <v>0.015</v>
      </c>
    </row>
    <row r="10">
      <c r="A10" s="6" t="s">
        <v>373</v>
      </c>
      <c r="B10" s="9">
        <v>1022140.0</v>
      </c>
      <c r="C10" s="8" t="s">
        <v>536</v>
      </c>
      <c r="D10" s="9">
        <v>768550.0</v>
      </c>
      <c r="E10" s="9">
        <v>1077101.0</v>
      </c>
      <c r="F10" s="9">
        <v>2775855.0</v>
      </c>
      <c r="G10" s="9">
        <v>1022140.0</v>
      </c>
      <c r="H10" s="8" t="s">
        <v>538</v>
      </c>
      <c r="I10" s="11">
        <v>-0.051</v>
      </c>
    </row>
    <row r="11">
      <c r="A11" s="6" t="s">
        <v>416</v>
      </c>
      <c r="B11" s="8" t="s">
        <v>536</v>
      </c>
      <c r="C11" s="9">
        <v>1236969.0</v>
      </c>
      <c r="D11" s="9">
        <v>769824.0</v>
      </c>
      <c r="E11" s="9">
        <v>1079514.0</v>
      </c>
      <c r="F11" s="9">
        <v>2255866.0</v>
      </c>
      <c r="G11" s="9">
        <v>1236969.0</v>
      </c>
      <c r="H11" s="8" t="s">
        <v>537</v>
      </c>
      <c r="I11" s="10">
        <f>+14.6%</f>
        <v>0.146</v>
      </c>
    </row>
    <row r="12">
      <c r="A12" s="6" t="s">
        <v>463</v>
      </c>
      <c r="B12" s="8" t="s">
        <v>536</v>
      </c>
      <c r="C12" s="9">
        <v>1421137.0</v>
      </c>
      <c r="D12" s="9">
        <v>854028.0</v>
      </c>
      <c r="E12" s="9">
        <v>807739.0</v>
      </c>
      <c r="F12" s="9">
        <v>1448752.0</v>
      </c>
      <c r="G12" s="9">
        <v>1421137.0</v>
      </c>
      <c r="H12" s="8" t="s">
        <v>537</v>
      </c>
      <c r="I12" s="10">
        <f>+75.9%</f>
        <v>0.759</v>
      </c>
    </row>
    <row r="13">
      <c r="A13" s="6" t="s">
        <v>498</v>
      </c>
      <c r="B13" s="9">
        <v>914192.0</v>
      </c>
      <c r="C13" s="8" t="s">
        <v>536</v>
      </c>
      <c r="D13" s="9">
        <v>663477.0</v>
      </c>
      <c r="E13" s="8" t="s">
        <v>539</v>
      </c>
      <c r="F13" s="9">
        <v>2966355.0</v>
      </c>
      <c r="G13" s="9">
        <v>914192.0</v>
      </c>
      <c r="H13" s="8" t="s">
        <v>538</v>
      </c>
      <c r="I13" s="8" t="s">
        <v>540</v>
      </c>
    </row>
    <row r="14">
      <c r="F14" s="12">
        <f>sum(F3:F13)</f>
        <v>24150011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4.88"/>
    <col customWidth="1" min="3" max="3" width="20.5"/>
    <col customWidth="1" min="5" max="5" width="23.75"/>
  </cols>
  <sheetData>
    <row r="1">
      <c r="A1" s="2" t="s">
        <v>0</v>
      </c>
      <c r="B1" s="2" t="s">
        <v>541</v>
      </c>
      <c r="C1" s="2" t="s">
        <v>542</v>
      </c>
      <c r="D1" s="2" t="s">
        <v>543</v>
      </c>
      <c r="E1" s="2" t="s">
        <v>534</v>
      </c>
    </row>
    <row r="2">
      <c r="A2" s="2" t="s">
        <v>544</v>
      </c>
      <c r="B2" s="2" t="str">
        <f t="shared" ref="B2:B93" si="1">CONCATENATE(UPPER(A2),"_",UPPER(C2))</f>
        <v>KADUNA_BIRNIN GWARI</v>
      </c>
      <c r="C2" s="2" t="s">
        <v>169</v>
      </c>
      <c r="D2" s="2">
        <v>94236.0</v>
      </c>
      <c r="E2" s="2" t="s">
        <v>537</v>
      </c>
    </row>
    <row r="3">
      <c r="A3" s="2" t="s">
        <v>544</v>
      </c>
      <c r="B3" s="2" t="str">
        <f t="shared" si="1"/>
        <v>KADUNA_CHIKUN</v>
      </c>
      <c r="C3" s="2" t="s">
        <v>171</v>
      </c>
      <c r="D3" s="2">
        <v>115381.0</v>
      </c>
      <c r="E3" s="2" t="s">
        <v>537</v>
      </c>
    </row>
    <row r="4">
      <c r="A4" s="2" t="s">
        <v>544</v>
      </c>
      <c r="B4" s="2" t="str">
        <f t="shared" si="1"/>
        <v>KADUNA_GIWA</v>
      </c>
      <c r="C4" s="2" t="s">
        <v>173</v>
      </c>
      <c r="D4" s="2">
        <v>226851.0</v>
      </c>
      <c r="E4" s="2" t="s">
        <v>537</v>
      </c>
    </row>
    <row r="5">
      <c r="A5" s="2" t="s">
        <v>544</v>
      </c>
      <c r="B5" s="2" t="str">
        <f t="shared" si="1"/>
        <v>KADUNA_IGABI</v>
      </c>
      <c r="C5" s="2" t="s">
        <v>175</v>
      </c>
      <c r="D5" s="2">
        <v>225629.0</v>
      </c>
      <c r="E5" s="2" t="s">
        <v>537</v>
      </c>
    </row>
    <row r="6">
      <c r="A6" s="2" t="s">
        <v>544</v>
      </c>
      <c r="B6" s="2" t="str">
        <f t="shared" si="1"/>
        <v>KADUNA_IKARA</v>
      </c>
      <c r="C6" s="2" t="s">
        <v>177</v>
      </c>
      <c r="D6" s="2">
        <v>108292.0</v>
      </c>
      <c r="E6" s="2" t="s">
        <v>537</v>
      </c>
    </row>
    <row r="7">
      <c r="A7" s="2" t="s">
        <v>544</v>
      </c>
      <c r="B7" s="2" t="str">
        <f t="shared" si="1"/>
        <v>KADUNA_JABA</v>
      </c>
      <c r="C7" s="2" t="s">
        <v>179</v>
      </c>
      <c r="D7" s="2">
        <v>69109.0</v>
      </c>
      <c r="E7" s="2" t="s">
        <v>537</v>
      </c>
    </row>
    <row r="8">
      <c r="A8" s="2" t="s">
        <v>544</v>
      </c>
      <c r="B8" s="2" t="str">
        <f t="shared" si="1"/>
        <v>KADUNA_JEMAA</v>
      </c>
      <c r="C8" s="2" t="s">
        <v>545</v>
      </c>
      <c r="D8" s="2">
        <v>62835.0</v>
      </c>
      <c r="E8" s="2" t="s">
        <v>537</v>
      </c>
    </row>
    <row r="9">
      <c r="A9" s="2" t="s">
        <v>544</v>
      </c>
      <c r="B9" s="2" t="str">
        <f t="shared" si="1"/>
        <v>KADUNA_KACHIA</v>
      </c>
      <c r="C9" s="2" t="s">
        <v>183</v>
      </c>
      <c r="D9" s="2">
        <v>104687.0</v>
      </c>
      <c r="E9" s="2" t="s">
        <v>537</v>
      </c>
    </row>
    <row r="10">
      <c r="A10" s="2" t="s">
        <v>544</v>
      </c>
      <c r="B10" s="2" t="str">
        <f t="shared" si="1"/>
        <v>KADUNA_KADUNA NORTH</v>
      </c>
      <c r="C10" s="2" t="s">
        <v>185</v>
      </c>
      <c r="D10" s="2">
        <v>68091.0</v>
      </c>
      <c r="E10" s="2" t="s">
        <v>537</v>
      </c>
    </row>
    <row r="11">
      <c r="A11" s="2" t="s">
        <v>544</v>
      </c>
      <c r="B11" s="2" t="str">
        <f t="shared" si="1"/>
        <v>KADUNA_KADUNA SOUTH</v>
      </c>
      <c r="C11" s="2" t="s">
        <v>187</v>
      </c>
      <c r="D11" s="2">
        <v>103834.0</v>
      </c>
      <c r="E11" s="2" t="s">
        <v>537</v>
      </c>
    </row>
    <row r="12">
      <c r="A12" s="2" t="s">
        <v>544</v>
      </c>
      <c r="B12" s="2" t="str">
        <f t="shared" si="1"/>
        <v>KADUNA_KAGARKO</v>
      </c>
      <c r="C12" s="2" t="s">
        <v>189</v>
      </c>
      <c r="D12" s="2">
        <v>89890.0</v>
      </c>
      <c r="E12" s="2" t="s">
        <v>537</v>
      </c>
    </row>
    <row r="13">
      <c r="A13" s="2" t="s">
        <v>544</v>
      </c>
      <c r="B13" s="2" t="str">
        <f t="shared" si="1"/>
        <v>KADUNA_KAJURU</v>
      </c>
      <c r="C13" s="2" t="s">
        <v>191</v>
      </c>
      <c r="D13" s="2">
        <v>39901.0</v>
      </c>
      <c r="E13" s="2" t="s">
        <v>537</v>
      </c>
    </row>
    <row r="14">
      <c r="A14" s="2" t="s">
        <v>544</v>
      </c>
      <c r="B14" s="2" t="str">
        <f t="shared" si="1"/>
        <v>KADUNA_KAURA</v>
      </c>
      <c r="C14" s="2" t="s">
        <v>193</v>
      </c>
      <c r="D14" s="2">
        <v>77249.0</v>
      </c>
      <c r="E14" s="2" t="s">
        <v>537</v>
      </c>
    </row>
    <row r="15">
      <c r="A15" s="2" t="s">
        <v>544</v>
      </c>
      <c r="B15" s="2" t="str">
        <f t="shared" si="1"/>
        <v>KADUNA_KAURU</v>
      </c>
      <c r="C15" s="2" t="s">
        <v>195</v>
      </c>
      <c r="D15" s="2">
        <v>120502.0</v>
      </c>
      <c r="E15" s="2" t="s">
        <v>537</v>
      </c>
    </row>
    <row r="16">
      <c r="A16" s="2" t="s">
        <v>544</v>
      </c>
      <c r="B16" s="2" t="str">
        <f t="shared" si="1"/>
        <v>KADUNA_KUBAU</v>
      </c>
      <c r="C16" s="2" t="s">
        <v>197</v>
      </c>
      <c r="D16" s="2">
        <v>211908.0</v>
      </c>
      <c r="E16" s="2" t="s">
        <v>537</v>
      </c>
    </row>
    <row r="17">
      <c r="A17" s="2" t="s">
        <v>544</v>
      </c>
      <c r="B17" s="2" t="str">
        <f t="shared" si="1"/>
        <v>KADUNA_KUDAN</v>
      </c>
      <c r="C17" s="2" t="s">
        <v>199</v>
      </c>
      <c r="D17" s="2">
        <v>72825.0</v>
      </c>
      <c r="E17" s="2" t="s">
        <v>537</v>
      </c>
    </row>
    <row r="18">
      <c r="A18" s="2" t="s">
        <v>544</v>
      </c>
      <c r="B18" s="2" t="str">
        <f t="shared" si="1"/>
        <v>KADUNA_LERE</v>
      </c>
      <c r="C18" s="2" t="s">
        <v>201</v>
      </c>
      <c r="D18" s="2">
        <v>191650.0</v>
      </c>
      <c r="E18" s="2" t="s">
        <v>537</v>
      </c>
    </row>
    <row r="19">
      <c r="A19" s="2" t="s">
        <v>544</v>
      </c>
      <c r="B19" s="2" t="str">
        <f t="shared" si="1"/>
        <v>KADUNA_MAKARFI</v>
      </c>
      <c r="C19" s="2" t="s">
        <v>203</v>
      </c>
      <c r="D19" s="2">
        <v>86096.0</v>
      </c>
      <c r="E19" s="2" t="s">
        <v>537</v>
      </c>
    </row>
    <row r="20">
      <c r="A20" s="2" t="s">
        <v>544</v>
      </c>
      <c r="B20" s="2" t="str">
        <f t="shared" si="1"/>
        <v>KADUNA_SABON GARI</v>
      </c>
      <c r="C20" s="2" t="s">
        <v>205</v>
      </c>
      <c r="D20" s="2">
        <v>123869.0</v>
      </c>
      <c r="E20" s="2" t="s">
        <v>537</v>
      </c>
    </row>
    <row r="21">
      <c r="A21" s="2" t="s">
        <v>544</v>
      </c>
      <c r="B21" s="2" t="str">
        <f t="shared" si="1"/>
        <v>KADUNA_SANGA</v>
      </c>
      <c r="C21" s="2" t="s">
        <v>207</v>
      </c>
      <c r="D21" s="2">
        <v>54442.0</v>
      </c>
      <c r="E21" s="2" t="s">
        <v>537</v>
      </c>
    </row>
    <row r="22">
      <c r="A22" s="2" t="s">
        <v>544</v>
      </c>
      <c r="B22" s="2" t="str">
        <f t="shared" si="1"/>
        <v>KADUNA_SOBA</v>
      </c>
      <c r="C22" s="2" t="s">
        <v>209</v>
      </c>
      <c r="D22" s="2">
        <v>215370.0</v>
      </c>
      <c r="E22" s="2" t="s">
        <v>537</v>
      </c>
    </row>
    <row r="23">
      <c r="A23" s="2" t="s">
        <v>544</v>
      </c>
      <c r="B23" s="2" t="str">
        <f t="shared" si="1"/>
        <v>KADUNA_ZANGON KATAF</v>
      </c>
      <c r="C23" s="2" t="s">
        <v>211</v>
      </c>
      <c r="D23" s="2">
        <v>116995.0</v>
      </c>
      <c r="E23" s="2" t="s">
        <v>537</v>
      </c>
    </row>
    <row r="24">
      <c r="A24" s="2" t="s">
        <v>544</v>
      </c>
      <c r="B24" s="2" t="str">
        <f t="shared" si="1"/>
        <v>KADUNA_ZARIA</v>
      </c>
      <c r="C24" s="2" t="s">
        <v>213</v>
      </c>
      <c r="D24" s="2">
        <v>292558.0</v>
      </c>
      <c r="E24" s="2" t="s">
        <v>537</v>
      </c>
    </row>
    <row r="25">
      <c r="A25" s="2" t="s">
        <v>546</v>
      </c>
      <c r="B25" s="2" t="str">
        <f t="shared" si="1"/>
        <v>BAUCHI_ALKALERI</v>
      </c>
      <c r="C25" s="2" t="s">
        <v>52</v>
      </c>
      <c r="D25" s="2">
        <v>65087.0</v>
      </c>
      <c r="E25" s="2" t="s">
        <v>537</v>
      </c>
    </row>
    <row r="26">
      <c r="A26" s="2" t="s">
        <v>546</v>
      </c>
      <c r="B26" s="2" t="str">
        <f t="shared" si="1"/>
        <v>BAUCHI_BAUCHI</v>
      </c>
      <c r="C26" s="2" t="s">
        <v>51</v>
      </c>
      <c r="D26" s="2">
        <v>174478.0</v>
      </c>
      <c r="E26" s="2" t="s">
        <v>537</v>
      </c>
    </row>
    <row r="27">
      <c r="A27" s="2" t="s">
        <v>546</v>
      </c>
      <c r="B27" s="2" t="str">
        <f t="shared" si="1"/>
        <v>BAUCHI_BOGORO</v>
      </c>
      <c r="C27" s="2" t="s">
        <v>55</v>
      </c>
      <c r="D27" s="2">
        <v>25206.0</v>
      </c>
      <c r="E27" s="2" t="s">
        <v>537</v>
      </c>
    </row>
    <row r="28">
      <c r="A28" s="2" t="s">
        <v>546</v>
      </c>
      <c r="B28" s="2" t="str">
        <f t="shared" si="1"/>
        <v>BAUCHI_DAMBAM</v>
      </c>
      <c r="C28" s="2" t="s">
        <v>547</v>
      </c>
      <c r="D28" s="2">
        <v>39899.0</v>
      </c>
      <c r="E28" s="2" t="s">
        <v>537</v>
      </c>
    </row>
    <row r="29">
      <c r="A29" s="2" t="s">
        <v>546</v>
      </c>
      <c r="B29" s="2" t="str">
        <f t="shared" si="1"/>
        <v>BAUCHI_DARAZO</v>
      </c>
      <c r="C29" s="2" t="s">
        <v>59</v>
      </c>
      <c r="D29" s="2">
        <v>83903.0</v>
      </c>
      <c r="E29" s="2" t="s">
        <v>537</v>
      </c>
    </row>
    <row r="30">
      <c r="A30" s="2" t="s">
        <v>546</v>
      </c>
      <c r="B30" s="2" t="str">
        <f t="shared" si="1"/>
        <v>BAUCHI_DASS</v>
      </c>
      <c r="C30" s="2" t="s">
        <v>61</v>
      </c>
      <c r="D30" s="2">
        <v>28345.0</v>
      </c>
      <c r="E30" s="2" t="s">
        <v>537</v>
      </c>
    </row>
    <row r="31">
      <c r="A31" s="2" t="s">
        <v>546</v>
      </c>
      <c r="B31" s="2" t="str">
        <f t="shared" si="1"/>
        <v>BAUCHI_GAMAWA</v>
      </c>
      <c r="C31" s="2" t="s">
        <v>63</v>
      </c>
      <c r="D31" s="2">
        <v>101219.0</v>
      </c>
      <c r="E31" s="2" t="s">
        <v>537</v>
      </c>
    </row>
    <row r="32">
      <c r="A32" s="2" t="s">
        <v>546</v>
      </c>
      <c r="B32" s="2" t="str">
        <f t="shared" si="1"/>
        <v>BAUCHI_GANJUWA</v>
      </c>
      <c r="C32" s="2" t="s">
        <v>65</v>
      </c>
      <c r="D32" s="2">
        <v>84684.0</v>
      </c>
      <c r="E32" s="2" t="s">
        <v>537</v>
      </c>
    </row>
    <row r="33">
      <c r="A33" s="2" t="s">
        <v>546</v>
      </c>
      <c r="B33" s="2" t="str">
        <f t="shared" si="1"/>
        <v>BAUCHI_GIADE</v>
      </c>
      <c r="C33" s="2" t="s">
        <v>67</v>
      </c>
      <c r="D33" s="2">
        <v>47015.0</v>
      </c>
      <c r="E33" s="2" t="s">
        <v>537</v>
      </c>
    </row>
    <row r="34">
      <c r="A34" s="2" t="s">
        <v>546</v>
      </c>
      <c r="B34" s="2" t="str">
        <f t="shared" si="1"/>
        <v>BAUCHI_ITAS GADAU</v>
      </c>
      <c r="C34" s="2" t="s">
        <v>548</v>
      </c>
      <c r="D34" s="2">
        <v>92458.0</v>
      </c>
      <c r="E34" s="2" t="s">
        <v>537</v>
      </c>
    </row>
    <row r="35">
      <c r="A35" s="2" t="s">
        <v>546</v>
      </c>
      <c r="B35" s="2" t="str">
        <f t="shared" si="1"/>
        <v>BAUCHI_JAMA'ARE</v>
      </c>
      <c r="C35" s="2" t="s">
        <v>549</v>
      </c>
      <c r="D35" s="2">
        <v>40984.0</v>
      </c>
      <c r="E35" s="2" t="s">
        <v>537</v>
      </c>
    </row>
    <row r="36">
      <c r="A36" s="2" t="s">
        <v>546</v>
      </c>
      <c r="B36" s="2" t="str">
        <f t="shared" si="1"/>
        <v>BAUCHI_KATAGUM</v>
      </c>
      <c r="C36" s="2" t="s">
        <v>73</v>
      </c>
      <c r="D36" s="2">
        <v>83428.0</v>
      </c>
      <c r="E36" s="2" t="s">
        <v>537</v>
      </c>
    </row>
    <row r="37">
      <c r="A37" s="2" t="s">
        <v>546</v>
      </c>
      <c r="B37" s="2" t="str">
        <f t="shared" si="1"/>
        <v>BAUCHI_KIRFI</v>
      </c>
      <c r="C37" s="2" t="s">
        <v>75</v>
      </c>
      <c r="D37" s="2">
        <v>36167.0</v>
      </c>
      <c r="E37" s="2" t="s">
        <v>537</v>
      </c>
    </row>
    <row r="38">
      <c r="A38" s="2" t="s">
        <v>546</v>
      </c>
      <c r="B38" s="2" t="str">
        <f t="shared" si="1"/>
        <v>BAUCHI_MISAU</v>
      </c>
      <c r="C38" s="2" t="s">
        <v>77</v>
      </c>
      <c r="D38" s="2">
        <v>59951.0</v>
      </c>
      <c r="E38" s="2" t="s">
        <v>537</v>
      </c>
    </row>
    <row r="39">
      <c r="A39" s="2" t="s">
        <v>546</v>
      </c>
      <c r="B39" s="2" t="str">
        <f t="shared" si="1"/>
        <v>BAUCHI_NINGI</v>
      </c>
      <c r="C39" s="2" t="s">
        <v>79</v>
      </c>
      <c r="D39" s="2">
        <v>93223.0</v>
      </c>
      <c r="E39" s="2" t="s">
        <v>537</v>
      </c>
    </row>
    <row r="40">
      <c r="A40" s="2" t="s">
        <v>546</v>
      </c>
      <c r="B40" s="2" t="str">
        <f t="shared" si="1"/>
        <v>BAUCHI_SHIRA</v>
      </c>
      <c r="C40" s="2" t="s">
        <v>81</v>
      </c>
      <c r="D40" s="2">
        <v>77317.0</v>
      </c>
      <c r="E40" s="2" t="s">
        <v>537</v>
      </c>
    </row>
    <row r="41">
      <c r="A41" s="2" t="s">
        <v>546</v>
      </c>
      <c r="B41" s="2" t="str">
        <f t="shared" si="1"/>
        <v>BAUCHI_TAFAWA BALEWA</v>
      </c>
      <c r="C41" s="2" t="s">
        <v>550</v>
      </c>
      <c r="D41" s="2">
        <v>84448.0</v>
      </c>
      <c r="E41" s="2" t="s">
        <v>537</v>
      </c>
    </row>
    <row r="42">
      <c r="A42" s="2" t="s">
        <v>546</v>
      </c>
      <c r="B42" s="2" t="str">
        <f t="shared" si="1"/>
        <v>BAUCHI_TORO</v>
      </c>
      <c r="C42" s="2" t="s">
        <v>85</v>
      </c>
      <c r="D42" s="2">
        <v>115142.0</v>
      </c>
      <c r="E42" s="2" t="s">
        <v>537</v>
      </c>
    </row>
    <row r="43">
      <c r="A43" s="2" t="s">
        <v>546</v>
      </c>
      <c r="B43" s="2" t="str">
        <f t="shared" si="1"/>
        <v>BAUCHI_WARJI</v>
      </c>
      <c r="C43" s="2" t="s">
        <v>87</v>
      </c>
      <c r="D43" s="2">
        <v>32725.0</v>
      </c>
      <c r="E43" s="2" t="s">
        <v>537</v>
      </c>
    </row>
    <row r="44">
      <c r="A44" s="2" t="s">
        <v>546</v>
      </c>
      <c r="B44" s="2" t="str">
        <f t="shared" si="1"/>
        <v>BAUCHI_ZAKI</v>
      </c>
      <c r="C44" s="2" t="s">
        <v>89</v>
      </c>
      <c r="D44" s="2">
        <v>54319.0</v>
      </c>
      <c r="E44" s="2" t="s">
        <v>537</v>
      </c>
    </row>
    <row r="45">
      <c r="A45" s="2" t="s">
        <v>551</v>
      </c>
      <c r="B45" s="2" t="str">
        <f t="shared" si="1"/>
        <v>ADAMAWA_DEMSA</v>
      </c>
      <c r="C45" s="2" t="s">
        <v>9</v>
      </c>
      <c r="D45" s="2">
        <v>78295.0</v>
      </c>
      <c r="E45" s="2" t="s">
        <v>537</v>
      </c>
    </row>
    <row r="46">
      <c r="A46" s="2" t="s">
        <v>551</v>
      </c>
      <c r="B46" s="2" t="str">
        <f t="shared" si="1"/>
        <v>ADAMAWA_FUFORE</v>
      </c>
      <c r="C46" s="2" t="s">
        <v>11</v>
      </c>
      <c r="D46" s="2">
        <v>109881.0</v>
      </c>
      <c r="E46" s="2" t="s">
        <v>537</v>
      </c>
    </row>
    <row r="47">
      <c r="A47" s="2" t="s">
        <v>551</v>
      </c>
      <c r="B47" s="2" t="str">
        <f t="shared" si="1"/>
        <v>ADAMAWA_GANYE</v>
      </c>
      <c r="C47" s="2" t="s">
        <v>13</v>
      </c>
      <c r="D47" s="2">
        <v>58086.0</v>
      </c>
      <c r="E47" s="2" t="s">
        <v>537</v>
      </c>
    </row>
    <row r="48">
      <c r="A48" s="2" t="s">
        <v>551</v>
      </c>
      <c r="B48" s="2" t="str">
        <f t="shared" si="1"/>
        <v>ADAMAWA_GIREI</v>
      </c>
      <c r="C48" s="2" t="s">
        <v>15</v>
      </c>
      <c r="D48" s="2">
        <v>53156.0</v>
      </c>
      <c r="E48" s="2" t="s">
        <v>537</v>
      </c>
    </row>
    <row r="49">
      <c r="A49" s="2" t="s">
        <v>551</v>
      </c>
      <c r="B49" s="2" t="str">
        <f t="shared" si="1"/>
        <v>ADAMAWA_GOMBI</v>
      </c>
      <c r="C49" s="2" t="s">
        <v>17</v>
      </c>
      <c r="D49" s="2">
        <v>63553.0</v>
      </c>
      <c r="E49" s="2" t="s">
        <v>537</v>
      </c>
    </row>
    <row r="50">
      <c r="A50" s="2" t="s">
        <v>551</v>
      </c>
      <c r="B50" s="2" t="str">
        <f t="shared" si="1"/>
        <v>ADAMAWA_GUYUK</v>
      </c>
      <c r="C50" s="2" t="s">
        <v>19</v>
      </c>
      <c r="D50" s="2">
        <v>71273.0</v>
      </c>
      <c r="E50" s="2" t="s">
        <v>537</v>
      </c>
    </row>
    <row r="51">
      <c r="A51" s="2" t="s">
        <v>551</v>
      </c>
      <c r="B51" s="2" t="str">
        <f t="shared" si="1"/>
        <v>ADAMAWA_HONG</v>
      </c>
      <c r="C51" s="2" t="s">
        <v>21</v>
      </c>
      <c r="D51" s="2">
        <v>62256.0</v>
      </c>
      <c r="E51" s="2" t="s">
        <v>537</v>
      </c>
    </row>
    <row r="52">
      <c r="A52" s="2" t="s">
        <v>551</v>
      </c>
      <c r="B52" s="2" t="str">
        <f t="shared" si="1"/>
        <v>ADAMAWA_JADA</v>
      </c>
      <c r="C52" s="2" t="s">
        <v>23</v>
      </c>
      <c r="D52" s="2">
        <v>62492.0</v>
      </c>
      <c r="E52" s="2" t="s">
        <v>537</v>
      </c>
    </row>
    <row r="53">
      <c r="A53" s="2" t="s">
        <v>551</v>
      </c>
      <c r="B53" s="2" t="str">
        <f t="shared" si="1"/>
        <v>ADAMAWA_LAMURDE</v>
      </c>
      <c r="C53" s="2" t="s">
        <v>25</v>
      </c>
      <c r="D53" s="2">
        <v>44530.0</v>
      </c>
      <c r="E53" s="2" t="s">
        <v>537</v>
      </c>
    </row>
    <row r="54">
      <c r="A54" s="2" t="s">
        <v>551</v>
      </c>
      <c r="B54" s="2" t="str">
        <f t="shared" si="1"/>
        <v>ADAMAWA_MADAGALI</v>
      </c>
      <c r="C54" s="2" t="s">
        <v>27</v>
      </c>
      <c r="D54" s="2">
        <v>67035.0</v>
      </c>
      <c r="E54" s="2" t="s">
        <v>537</v>
      </c>
    </row>
    <row r="55">
      <c r="A55" s="2" t="s">
        <v>551</v>
      </c>
      <c r="B55" s="2" t="str">
        <f t="shared" si="1"/>
        <v>ADAMAWA_MAIHA</v>
      </c>
      <c r="C55" s="2" t="s">
        <v>29</v>
      </c>
      <c r="D55" s="2">
        <v>57611.0</v>
      </c>
      <c r="E55" s="2" t="s">
        <v>537</v>
      </c>
    </row>
    <row r="56">
      <c r="A56" s="2" t="s">
        <v>551</v>
      </c>
      <c r="B56" s="2" t="str">
        <f t="shared" si="1"/>
        <v>ADAMAWA_MAYO BELWA</v>
      </c>
      <c r="C56" s="2" t="s">
        <v>552</v>
      </c>
      <c r="D56" s="2">
        <v>95915.0</v>
      </c>
      <c r="E56" s="2" t="s">
        <v>537</v>
      </c>
    </row>
    <row r="57">
      <c r="A57" s="2" t="s">
        <v>551</v>
      </c>
      <c r="B57" s="2" t="str">
        <f t="shared" si="1"/>
        <v>ADAMAWA_MICHIKA</v>
      </c>
      <c r="C57" s="2" t="s">
        <v>33</v>
      </c>
      <c r="D57" s="2">
        <v>63488.0</v>
      </c>
      <c r="E57" s="2" t="s">
        <v>537</v>
      </c>
    </row>
    <row r="58">
      <c r="A58" s="2" t="s">
        <v>551</v>
      </c>
      <c r="B58" s="2" t="str">
        <f t="shared" si="1"/>
        <v>ADAMAWA_MUBI NORTH</v>
      </c>
      <c r="C58" s="2" t="s">
        <v>35</v>
      </c>
      <c r="D58" s="2">
        <v>56045.0</v>
      </c>
      <c r="E58" s="2" t="s">
        <v>537</v>
      </c>
    </row>
    <row r="59">
      <c r="A59" s="2" t="s">
        <v>551</v>
      </c>
      <c r="B59" s="2" t="str">
        <f t="shared" si="1"/>
        <v>ADAMAWA_MUBI SOUTH</v>
      </c>
      <c r="C59" s="2" t="s">
        <v>37</v>
      </c>
      <c r="D59" s="2">
        <v>65614.0</v>
      </c>
      <c r="E59" s="2" t="s">
        <v>537</v>
      </c>
    </row>
    <row r="60">
      <c r="A60" s="2" t="s">
        <v>551</v>
      </c>
      <c r="B60" s="2" t="str">
        <f t="shared" si="1"/>
        <v>ADAMAWA_NUMAN</v>
      </c>
      <c r="C60" s="2" t="s">
        <v>39</v>
      </c>
      <c r="D60" s="2">
        <v>51760.0</v>
      </c>
      <c r="E60" s="2" t="s">
        <v>537</v>
      </c>
    </row>
    <row r="61">
      <c r="A61" s="2" t="s">
        <v>551</v>
      </c>
      <c r="B61" s="2" t="str">
        <f t="shared" si="1"/>
        <v>ADAMAWA_SHELLENG</v>
      </c>
      <c r="C61" s="2" t="s">
        <v>41</v>
      </c>
      <c r="D61" s="2">
        <v>61305.0</v>
      </c>
      <c r="E61" s="2" t="s">
        <v>537</v>
      </c>
    </row>
    <row r="62">
      <c r="A62" s="2" t="s">
        <v>551</v>
      </c>
      <c r="B62" s="2" t="str">
        <f t="shared" si="1"/>
        <v>ADAMAWA_SONG</v>
      </c>
      <c r="C62" s="2" t="s">
        <v>43</v>
      </c>
      <c r="D62" s="2">
        <v>91102.0</v>
      </c>
      <c r="E62" s="2" t="s">
        <v>537</v>
      </c>
    </row>
    <row r="63">
      <c r="A63" s="2" t="s">
        <v>551</v>
      </c>
      <c r="B63" s="2" t="str">
        <f t="shared" si="1"/>
        <v>ADAMAWA_TOUNGO</v>
      </c>
      <c r="C63" s="2" t="s">
        <v>45</v>
      </c>
      <c r="D63" s="2">
        <v>39538.0</v>
      </c>
      <c r="E63" s="2" t="s">
        <v>537</v>
      </c>
    </row>
    <row r="64">
      <c r="A64" s="2" t="s">
        <v>551</v>
      </c>
      <c r="B64" s="2" t="str">
        <f t="shared" si="1"/>
        <v>ADAMAWA_YOLA NORTH</v>
      </c>
      <c r="C64" s="2" t="s">
        <v>47</v>
      </c>
      <c r="D64" s="2">
        <v>43469.0</v>
      </c>
      <c r="E64" s="2" t="s">
        <v>537</v>
      </c>
    </row>
    <row r="65">
      <c r="A65" s="2" t="s">
        <v>551</v>
      </c>
      <c r="B65" s="2" t="str">
        <f t="shared" si="1"/>
        <v>ADAMAWA_YOLA SOUTH</v>
      </c>
      <c r="C65" s="2" t="s">
        <v>49</v>
      </c>
      <c r="D65" s="2">
        <v>134068.0</v>
      </c>
      <c r="E65" s="2" t="s">
        <v>537</v>
      </c>
    </row>
    <row r="66">
      <c r="A66" s="2" t="s">
        <v>553</v>
      </c>
      <c r="B66" s="2" t="str">
        <f t="shared" si="1"/>
        <v>GOMBE_AKKO</v>
      </c>
      <c r="C66" s="2" t="s">
        <v>92</v>
      </c>
      <c r="D66" s="2">
        <v>197210.0</v>
      </c>
      <c r="E66" s="2" t="s">
        <v>537</v>
      </c>
    </row>
    <row r="67">
      <c r="A67" s="2" t="s">
        <v>553</v>
      </c>
      <c r="B67" s="2" t="str">
        <f t="shared" si="1"/>
        <v>GOMBE_BALANGA</v>
      </c>
      <c r="C67" s="2" t="s">
        <v>94</v>
      </c>
      <c r="D67" s="2">
        <v>83173.0</v>
      </c>
      <c r="E67" s="2" t="s">
        <v>537</v>
      </c>
    </row>
    <row r="68">
      <c r="A68" s="2" t="s">
        <v>553</v>
      </c>
      <c r="B68" s="2" t="str">
        <f t="shared" si="1"/>
        <v>GOMBE_BILLIRI</v>
      </c>
      <c r="C68" s="2" t="s">
        <v>96</v>
      </c>
      <c r="D68" s="2">
        <v>68297.0</v>
      </c>
      <c r="E68" s="2" t="s">
        <v>537</v>
      </c>
    </row>
    <row r="69">
      <c r="A69" s="2" t="s">
        <v>553</v>
      </c>
      <c r="B69" s="2" t="str">
        <f t="shared" si="1"/>
        <v>GOMBE_DUKKU</v>
      </c>
      <c r="C69" s="2" t="s">
        <v>98</v>
      </c>
      <c r="D69" s="2">
        <v>68291.0</v>
      </c>
      <c r="E69" s="2" t="s">
        <v>537</v>
      </c>
    </row>
    <row r="70">
      <c r="A70" s="2" t="s">
        <v>553</v>
      </c>
      <c r="B70" s="2" t="str">
        <f t="shared" si="1"/>
        <v>GOMBE_FUNAKAYE</v>
      </c>
      <c r="C70" s="2" t="s">
        <v>100</v>
      </c>
      <c r="D70" s="2">
        <v>74788.0</v>
      </c>
      <c r="E70" s="2" t="s">
        <v>537</v>
      </c>
    </row>
    <row r="71">
      <c r="A71" s="2" t="s">
        <v>553</v>
      </c>
      <c r="B71" s="2" t="str">
        <f t="shared" si="1"/>
        <v>GOMBE_GOMBE</v>
      </c>
      <c r="C71" s="2" t="s">
        <v>91</v>
      </c>
      <c r="D71" s="2">
        <v>75822.0</v>
      </c>
      <c r="E71" s="2" t="s">
        <v>537</v>
      </c>
    </row>
    <row r="72">
      <c r="A72" s="2" t="s">
        <v>553</v>
      </c>
      <c r="B72" s="2" t="str">
        <f t="shared" si="1"/>
        <v>GOMBE_KALTUNGO</v>
      </c>
      <c r="C72" s="2" t="s">
        <v>103</v>
      </c>
      <c r="D72" s="2">
        <v>52889.0</v>
      </c>
      <c r="E72" s="2" t="s">
        <v>537</v>
      </c>
    </row>
    <row r="73">
      <c r="A73" s="2" t="s">
        <v>553</v>
      </c>
      <c r="B73" s="2" t="str">
        <f t="shared" si="1"/>
        <v>GOMBE_KWAMI</v>
      </c>
      <c r="C73" s="2" t="s">
        <v>105</v>
      </c>
      <c r="D73" s="2">
        <v>60209.0</v>
      </c>
      <c r="E73" s="2" t="s">
        <v>537</v>
      </c>
    </row>
    <row r="74">
      <c r="A74" s="2" t="s">
        <v>553</v>
      </c>
      <c r="B74" s="2" t="str">
        <f t="shared" si="1"/>
        <v>GOMBE_NAFADA</v>
      </c>
      <c r="C74" s="2" t="s">
        <v>107</v>
      </c>
      <c r="D74" s="2">
        <v>62533.0</v>
      </c>
      <c r="E74" s="2" t="s">
        <v>537</v>
      </c>
    </row>
    <row r="75">
      <c r="A75" s="2" t="s">
        <v>553</v>
      </c>
      <c r="B75" s="2" t="str">
        <f t="shared" si="1"/>
        <v>GOMBE_SHONGOM</v>
      </c>
      <c r="C75" s="2" t="s">
        <v>554</v>
      </c>
      <c r="D75" s="2">
        <v>47149.0</v>
      </c>
      <c r="E75" s="2" t="s">
        <v>537</v>
      </c>
    </row>
    <row r="76">
      <c r="A76" s="2" t="s">
        <v>553</v>
      </c>
      <c r="B76" s="2" t="str">
        <f t="shared" si="1"/>
        <v>GOMBE_YAMALTU-DEBA</v>
      </c>
      <c r="C76" s="2" t="s">
        <v>555</v>
      </c>
      <c r="D76" s="2">
        <v>114042.0</v>
      </c>
      <c r="E76" s="2" t="s">
        <v>537</v>
      </c>
    </row>
    <row r="77">
      <c r="A77" s="2" t="s">
        <v>556</v>
      </c>
      <c r="B77" s="2" t="str">
        <f t="shared" si="1"/>
        <v>YOBE_BADE</v>
      </c>
      <c r="C77" s="2" t="s">
        <v>464</v>
      </c>
      <c r="D77" s="2">
        <v>81397.0</v>
      </c>
      <c r="E77" s="2" t="s">
        <v>537</v>
      </c>
    </row>
    <row r="78">
      <c r="A78" s="2" t="s">
        <v>556</v>
      </c>
      <c r="B78" s="2" t="str">
        <f t="shared" si="1"/>
        <v>YOBE_BURSARI</v>
      </c>
      <c r="C78" s="2" t="s">
        <v>466</v>
      </c>
      <c r="D78" s="2">
        <v>65369.0</v>
      </c>
      <c r="E78" s="2" t="s">
        <v>537</v>
      </c>
    </row>
    <row r="79">
      <c r="A79" s="2" t="s">
        <v>556</v>
      </c>
      <c r="B79" s="2" t="str">
        <f t="shared" si="1"/>
        <v>YOBE_DAMATURU</v>
      </c>
      <c r="C79" s="2" t="s">
        <v>468</v>
      </c>
      <c r="D79" s="2">
        <v>106378.0</v>
      </c>
      <c r="E79" s="2" t="s">
        <v>537</v>
      </c>
    </row>
    <row r="80">
      <c r="A80" s="2" t="s">
        <v>556</v>
      </c>
      <c r="B80" s="2" t="str">
        <f t="shared" si="1"/>
        <v>YOBE_FIKA</v>
      </c>
      <c r="C80" s="2" t="s">
        <v>470</v>
      </c>
      <c r="D80" s="2">
        <v>109710.0</v>
      </c>
      <c r="E80" s="2" t="s">
        <v>537</v>
      </c>
    </row>
    <row r="81">
      <c r="A81" s="2" t="s">
        <v>556</v>
      </c>
      <c r="B81" s="2" t="str">
        <f t="shared" si="1"/>
        <v>YOBE_FUNE</v>
      </c>
      <c r="C81" s="2" t="s">
        <v>472</v>
      </c>
      <c r="D81" s="2">
        <v>112214.0</v>
      </c>
      <c r="E81" s="2" t="s">
        <v>537</v>
      </c>
    </row>
    <row r="82">
      <c r="A82" s="2" t="s">
        <v>556</v>
      </c>
      <c r="B82" s="2" t="str">
        <f t="shared" si="1"/>
        <v>YOBE_GEIDAM</v>
      </c>
      <c r="C82" s="2" t="s">
        <v>474</v>
      </c>
      <c r="D82" s="2">
        <v>69020.0</v>
      </c>
      <c r="E82" s="2" t="s">
        <v>537</v>
      </c>
    </row>
    <row r="83">
      <c r="A83" s="2" t="s">
        <v>556</v>
      </c>
      <c r="B83" s="2" t="str">
        <f t="shared" si="1"/>
        <v>YOBE_GUJBA</v>
      </c>
      <c r="C83" s="2" t="s">
        <v>476</v>
      </c>
      <c r="D83" s="2">
        <v>70277.0</v>
      </c>
      <c r="E83" s="2" t="s">
        <v>537</v>
      </c>
    </row>
    <row r="84">
      <c r="A84" s="2" t="s">
        <v>556</v>
      </c>
      <c r="B84" s="2" t="str">
        <f t="shared" si="1"/>
        <v>YOBE_GULANI</v>
      </c>
      <c r="C84" s="2" t="s">
        <v>478</v>
      </c>
      <c r="D84" s="2">
        <v>80236.0</v>
      </c>
      <c r="E84" s="2" t="s">
        <v>537</v>
      </c>
    </row>
    <row r="85">
      <c r="A85" s="2" t="s">
        <v>556</v>
      </c>
      <c r="B85" s="2" t="str">
        <f t="shared" si="1"/>
        <v>YOBE_JAKUSKO</v>
      </c>
      <c r="C85" s="2" t="s">
        <v>480</v>
      </c>
      <c r="D85" s="2">
        <v>75499.0</v>
      </c>
      <c r="E85" s="2" t="s">
        <v>537</v>
      </c>
    </row>
    <row r="86">
      <c r="A86" s="2" t="s">
        <v>556</v>
      </c>
      <c r="B86" s="2" t="str">
        <f t="shared" si="1"/>
        <v>YOBE_KARASUWA</v>
      </c>
      <c r="C86" s="2" t="s">
        <v>482</v>
      </c>
      <c r="D86" s="2">
        <v>51804.0</v>
      </c>
      <c r="E86" s="2" t="s">
        <v>537</v>
      </c>
    </row>
    <row r="87">
      <c r="A87" s="2" t="s">
        <v>556</v>
      </c>
      <c r="B87" s="2" t="str">
        <f t="shared" si="1"/>
        <v>YOBE_MACHINA</v>
      </c>
      <c r="C87" s="2" t="s">
        <v>484</v>
      </c>
      <c r="D87" s="2">
        <v>36518.0</v>
      </c>
      <c r="E87" s="2" t="s">
        <v>537</v>
      </c>
    </row>
    <row r="88">
      <c r="A88" s="2" t="s">
        <v>556</v>
      </c>
      <c r="B88" s="2" t="str">
        <f t="shared" si="1"/>
        <v>YOBE_NANGERE</v>
      </c>
      <c r="C88" s="2" t="s">
        <v>486</v>
      </c>
      <c r="D88" s="2">
        <v>75541.0</v>
      </c>
      <c r="E88" s="2" t="s">
        <v>537</v>
      </c>
    </row>
    <row r="89">
      <c r="A89" s="2" t="s">
        <v>556</v>
      </c>
      <c r="B89" s="2" t="str">
        <f t="shared" si="1"/>
        <v>YOBE_NGURU</v>
      </c>
      <c r="C89" s="2" t="s">
        <v>488</v>
      </c>
      <c r="D89" s="2">
        <v>51993.0</v>
      </c>
      <c r="E89" s="2" t="s">
        <v>537</v>
      </c>
    </row>
    <row r="90">
      <c r="A90" s="2" t="s">
        <v>556</v>
      </c>
      <c r="B90" s="2" t="str">
        <f t="shared" si="1"/>
        <v>YOBE_POTISKUM</v>
      </c>
      <c r="C90" s="2" t="s">
        <v>490</v>
      </c>
      <c r="D90" s="2">
        <v>247154.0</v>
      </c>
      <c r="E90" s="2" t="s">
        <v>537</v>
      </c>
    </row>
    <row r="91">
      <c r="A91" s="2" t="s">
        <v>556</v>
      </c>
      <c r="B91" s="2" t="str">
        <f t="shared" si="1"/>
        <v>YOBE_TARMUWA</v>
      </c>
      <c r="C91" s="2" t="s">
        <v>492</v>
      </c>
      <c r="D91" s="2">
        <v>52544.0</v>
      </c>
      <c r="E91" s="2" t="s">
        <v>537</v>
      </c>
    </row>
    <row r="92">
      <c r="A92" s="2" t="s">
        <v>556</v>
      </c>
      <c r="B92" s="2" t="str">
        <f t="shared" si="1"/>
        <v>YOBE_YUNUSARI</v>
      </c>
      <c r="C92" s="2" t="s">
        <v>494</v>
      </c>
      <c r="D92" s="2">
        <v>74719.0</v>
      </c>
      <c r="E92" s="2" t="s">
        <v>537</v>
      </c>
    </row>
    <row r="93">
      <c r="A93" s="2" t="s">
        <v>556</v>
      </c>
      <c r="B93" s="2" t="str">
        <f t="shared" si="1"/>
        <v>YOBE_YUSUFARI</v>
      </c>
      <c r="C93" s="2" t="s">
        <v>496</v>
      </c>
      <c r="D93" s="2">
        <v>60764.0</v>
      </c>
      <c r="E93" s="2" t="s">
        <v>537</v>
      </c>
    </row>
    <row r="94">
      <c r="A94" s="13" t="s">
        <v>557</v>
      </c>
      <c r="B94" s="3" t="s">
        <v>418</v>
      </c>
      <c r="C94" s="13" t="s">
        <v>558</v>
      </c>
      <c r="D94" s="14">
        <v>28515.0</v>
      </c>
      <c r="E94" s="13" t="s">
        <v>559</v>
      </c>
    </row>
    <row r="95">
      <c r="A95" s="13" t="s">
        <v>557</v>
      </c>
      <c r="B95" s="3" t="s">
        <v>420</v>
      </c>
      <c r="C95" s="13" t="s">
        <v>560</v>
      </c>
      <c r="D95" s="14">
        <v>40925.0</v>
      </c>
      <c r="E95" s="13" t="s">
        <v>559</v>
      </c>
    </row>
    <row r="96">
      <c r="A96" s="13" t="s">
        <v>557</v>
      </c>
      <c r="B96" s="3" t="s">
        <v>422</v>
      </c>
      <c r="C96" s="13" t="s">
        <v>561</v>
      </c>
      <c r="D96" s="14">
        <v>43566.0</v>
      </c>
      <c r="E96" s="13" t="s">
        <v>559</v>
      </c>
    </row>
    <row r="97">
      <c r="A97" s="13" t="s">
        <v>557</v>
      </c>
      <c r="B97" s="3" t="s">
        <v>424</v>
      </c>
      <c r="C97" s="13" t="s">
        <v>562</v>
      </c>
      <c r="D97" s="14">
        <v>111590.0</v>
      </c>
      <c r="E97" s="13" t="s">
        <v>559</v>
      </c>
    </row>
    <row r="98">
      <c r="A98" s="13" t="s">
        <v>557</v>
      </c>
      <c r="B98" s="3" t="s">
        <v>426</v>
      </c>
      <c r="C98" s="13" t="s">
        <v>563</v>
      </c>
      <c r="D98" s="14">
        <v>64681.0</v>
      </c>
      <c r="E98" s="13" t="s">
        <v>559</v>
      </c>
    </row>
    <row r="99">
      <c r="A99" s="13" t="s">
        <v>557</v>
      </c>
      <c r="B99" s="3" t="s">
        <v>428</v>
      </c>
      <c r="C99" s="13" t="s">
        <v>564</v>
      </c>
      <c r="D99" s="14">
        <v>41497.0</v>
      </c>
      <c r="E99" s="13" t="s">
        <v>559</v>
      </c>
    </row>
    <row r="100">
      <c r="A100" s="13" t="s">
        <v>557</v>
      </c>
      <c r="B100" s="3" t="s">
        <v>430</v>
      </c>
      <c r="C100" s="13" t="s">
        <v>565</v>
      </c>
      <c r="D100" s="14">
        <v>71214.0</v>
      </c>
      <c r="E100" s="13" t="s">
        <v>559</v>
      </c>
    </row>
    <row r="101">
      <c r="A101" s="13" t="s">
        <v>557</v>
      </c>
      <c r="B101" s="3" t="s">
        <v>432</v>
      </c>
      <c r="C101" s="13" t="s">
        <v>566</v>
      </c>
      <c r="D101" s="14">
        <v>56446.0</v>
      </c>
      <c r="E101" s="13" t="s">
        <v>559</v>
      </c>
    </row>
    <row r="102">
      <c r="A102" s="13" t="s">
        <v>557</v>
      </c>
      <c r="B102" s="3" t="s">
        <v>434</v>
      </c>
      <c r="C102" s="13" t="s">
        <v>567</v>
      </c>
      <c r="D102" s="14">
        <v>56581.0</v>
      </c>
      <c r="E102" s="13" t="s">
        <v>559</v>
      </c>
    </row>
    <row r="103">
      <c r="A103" s="13" t="s">
        <v>557</v>
      </c>
      <c r="B103" s="3" t="s">
        <v>436</v>
      </c>
      <c r="C103" s="13" t="s">
        <v>568</v>
      </c>
      <c r="D103" s="14">
        <v>63300.0</v>
      </c>
      <c r="E103" s="13" t="s">
        <v>559</v>
      </c>
    </row>
    <row r="104">
      <c r="A104" s="13" t="s">
        <v>557</v>
      </c>
      <c r="B104" s="3" t="s">
        <v>438</v>
      </c>
      <c r="C104" s="13" t="s">
        <v>569</v>
      </c>
      <c r="D104" s="14">
        <v>84129.0</v>
      </c>
      <c r="E104" s="13" t="s">
        <v>559</v>
      </c>
    </row>
    <row r="105">
      <c r="A105" s="13" t="s">
        <v>557</v>
      </c>
      <c r="B105" s="3" t="s">
        <v>440</v>
      </c>
      <c r="C105" s="13" t="s">
        <v>570</v>
      </c>
      <c r="D105" s="14">
        <v>29369.0</v>
      </c>
      <c r="E105" s="13" t="s">
        <v>559</v>
      </c>
    </row>
    <row r="106">
      <c r="A106" s="13" t="s">
        <v>557</v>
      </c>
      <c r="B106" s="3" t="s">
        <v>442</v>
      </c>
      <c r="C106" s="13" t="s">
        <v>571</v>
      </c>
      <c r="D106" s="14">
        <v>67733.0</v>
      </c>
      <c r="E106" s="13" t="s">
        <v>559</v>
      </c>
    </row>
    <row r="107">
      <c r="A107" s="13" t="s">
        <v>557</v>
      </c>
      <c r="B107" s="3" t="s">
        <v>444</v>
      </c>
      <c r="C107" s="13" t="s">
        <v>572</v>
      </c>
      <c r="D107" s="14">
        <v>52039.0</v>
      </c>
      <c r="E107" s="13" t="s">
        <v>559</v>
      </c>
    </row>
    <row r="108">
      <c r="A108" s="13" t="s">
        <v>557</v>
      </c>
      <c r="B108" s="3" t="s">
        <v>446</v>
      </c>
      <c r="C108" s="13" t="s">
        <v>573</v>
      </c>
      <c r="D108" s="14">
        <v>34235.0</v>
      </c>
      <c r="E108" s="13" t="s">
        <v>559</v>
      </c>
    </row>
    <row r="109">
      <c r="A109" s="13" t="s">
        <v>557</v>
      </c>
      <c r="B109" s="3" t="s">
        <v>448</v>
      </c>
      <c r="C109" s="13" t="s">
        <v>574</v>
      </c>
      <c r="D109" s="14">
        <v>63561.0</v>
      </c>
      <c r="E109" s="13" t="s">
        <v>559</v>
      </c>
    </row>
    <row r="110">
      <c r="A110" s="13" t="s">
        <v>557</v>
      </c>
      <c r="B110" s="3" t="s">
        <v>450</v>
      </c>
      <c r="C110" s="13" t="s">
        <v>575</v>
      </c>
      <c r="D110" s="14">
        <v>55159.0</v>
      </c>
      <c r="E110" s="13" t="s">
        <v>559</v>
      </c>
    </row>
    <row r="111">
      <c r="A111" s="13" t="s">
        <v>557</v>
      </c>
      <c r="B111" s="3" t="s">
        <v>452</v>
      </c>
      <c r="C111" s="13" t="s">
        <v>576</v>
      </c>
      <c r="D111" s="14">
        <v>94832.0</v>
      </c>
      <c r="E111" s="13" t="s">
        <v>559</v>
      </c>
    </row>
    <row r="112">
      <c r="A112" s="13" t="s">
        <v>557</v>
      </c>
      <c r="B112" s="3" t="s">
        <v>454</v>
      </c>
      <c r="C112" s="13" t="s">
        <v>577</v>
      </c>
      <c r="D112" s="14">
        <v>36925.0</v>
      </c>
      <c r="E112" s="13" t="s">
        <v>559</v>
      </c>
    </row>
    <row r="113">
      <c r="A113" s="13" t="s">
        <v>557</v>
      </c>
      <c r="B113" s="3" t="s">
        <v>456</v>
      </c>
      <c r="C113" s="13" t="s">
        <v>578</v>
      </c>
      <c r="D113" s="14">
        <v>18385.0</v>
      </c>
      <c r="E113" s="13" t="s">
        <v>559</v>
      </c>
    </row>
    <row r="114">
      <c r="A114" s="13" t="s">
        <v>557</v>
      </c>
      <c r="B114" s="3" t="s">
        <v>458</v>
      </c>
      <c r="C114" s="13" t="s">
        <v>579</v>
      </c>
      <c r="D114" s="14">
        <v>45756.0</v>
      </c>
      <c r="E114" s="13" t="s">
        <v>559</v>
      </c>
    </row>
    <row r="115">
      <c r="A115" s="13" t="s">
        <v>557</v>
      </c>
      <c r="B115" s="3" t="s">
        <v>460</v>
      </c>
      <c r="C115" s="13" t="s">
        <v>580</v>
      </c>
      <c r="D115" s="14">
        <v>43349.0</v>
      </c>
      <c r="E115" s="13" t="s">
        <v>559</v>
      </c>
    </row>
    <row r="116">
      <c r="A116" s="13" t="s">
        <v>557</v>
      </c>
      <c r="B116" s="3" t="s">
        <v>462</v>
      </c>
      <c r="C116" s="13" t="s">
        <v>581</v>
      </c>
      <c r="D116" s="14">
        <v>33182.0</v>
      </c>
      <c r="E116" s="13" t="s">
        <v>559</v>
      </c>
    </row>
    <row r="117">
      <c r="A117" s="15" t="s">
        <v>582</v>
      </c>
      <c r="B117" s="3" t="s">
        <v>217</v>
      </c>
      <c r="C117" s="15" t="s">
        <v>583</v>
      </c>
      <c r="D117" s="14">
        <v>55758.0</v>
      </c>
      <c r="E117" s="15" t="s">
        <v>559</v>
      </c>
    </row>
    <row r="118">
      <c r="A118" s="15" t="s">
        <v>582</v>
      </c>
      <c r="B118" s="3" t="s">
        <v>220</v>
      </c>
      <c r="C118" s="15" t="s">
        <v>584</v>
      </c>
      <c r="D118" s="14">
        <v>50697.0</v>
      </c>
      <c r="E118" s="15" t="s">
        <v>559</v>
      </c>
    </row>
    <row r="119">
      <c r="A119" s="15" t="s">
        <v>582</v>
      </c>
      <c r="B119" s="3" t="s">
        <v>222</v>
      </c>
      <c r="C119" s="15" t="s">
        <v>585</v>
      </c>
      <c r="D119" s="14">
        <v>1.0</v>
      </c>
      <c r="E119" s="15" t="s">
        <v>559</v>
      </c>
    </row>
    <row r="120">
      <c r="A120" s="15" t="s">
        <v>582</v>
      </c>
      <c r="B120" s="3" t="s">
        <v>224</v>
      </c>
      <c r="C120" s="15" t="s">
        <v>586</v>
      </c>
      <c r="D120" s="14">
        <v>78518.0</v>
      </c>
      <c r="E120" s="15" t="s">
        <v>559</v>
      </c>
    </row>
    <row r="121">
      <c r="A121" s="15" t="s">
        <v>582</v>
      </c>
      <c r="B121" s="3" t="s">
        <v>226</v>
      </c>
      <c r="C121" s="15" t="s">
        <v>587</v>
      </c>
      <c r="D121" s="14">
        <v>96898.0</v>
      </c>
      <c r="E121" s="15" t="s">
        <v>559</v>
      </c>
    </row>
    <row r="122">
      <c r="A122" s="15" t="s">
        <v>582</v>
      </c>
      <c r="B122" s="3" t="s">
        <v>228</v>
      </c>
      <c r="C122" s="15" t="s">
        <v>588</v>
      </c>
      <c r="D122" s="14">
        <v>68986.0</v>
      </c>
      <c r="E122" s="15" t="s">
        <v>559</v>
      </c>
    </row>
    <row r="123">
      <c r="A123" s="15" t="s">
        <v>582</v>
      </c>
      <c r="B123" s="3" t="s">
        <v>230</v>
      </c>
      <c r="C123" s="15" t="s">
        <v>589</v>
      </c>
      <c r="D123" s="14">
        <v>105757.0</v>
      </c>
      <c r="E123" s="15" t="s">
        <v>559</v>
      </c>
    </row>
    <row r="124">
      <c r="A124" s="15" t="s">
        <v>582</v>
      </c>
      <c r="B124" s="3" t="s">
        <v>232</v>
      </c>
      <c r="C124" s="15" t="s">
        <v>590</v>
      </c>
      <c r="D124" s="14">
        <v>6.0</v>
      </c>
      <c r="E124" s="15" t="s">
        <v>559</v>
      </c>
    </row>
    <row r="125">
      <c r="A125" s="15" t="s">
        <v>582</v>
      </c>
      <c r="B125" s="3" t="s">
        <v>234</v>
      </c>
      <c r="C125" s="15" t="s">
        <v>591</v>
      </c>
      <c r="D125" s="14">
        <v>7.0</v>
      </c>
      <c r="E125" s="15" t="s">
        <v>559</v>
      </c>
    </row>
    <row r="126">
      <c r="A126" s="15" t="s">
        <v>582</v>
      </c>
      <c r="B126" s="3" t="s">
        <v>236</v>
      </c>
      <c r="C126" s="15" t="s">
        <v>592</v>
      </c>
      <c r="D126" s="14">
        <v>91301.0</v>
      </c>
      <c r="E126" s="15" t="s">
        <v>559</v>
      </c>
    </row>
    <row r="127">
      <c r="A127" s="15" t="s">
        <v>582</v>
      </c>
      <c r="B127" s="3" t="s">
        <v>593</v>
      </c>
      <c r="C127" s="15" t="s">
        <v>594</v>
      </c>
      <c r="D127" s="14">
        <v>0.0</v>
      </c>
      <c r="E127" s="15" t="s">
        <v>559</v>
      </c>
    </row>
    <row r="128">
      <c r="A128" s="15" t="s">
        <v>582</v>
      </c>
      <c r="B128" s="3" t="s">
        <v>240</v>
      </c>
      <c r="C128" s="15" t="s">
        <v>595</v>
      </c>
      <c r="D128" s="14">
        <v>14.0</v>
      </c>
      <c r="E128" s="15" t="s">
        <v>559</v>
      </c>
    </row>
    <row r="129">
      <c r="A129" s="15" t="s">
        <v>582</v>
      </c>
      <c r="B129" s="3" t="s">
        <v>242</v>
      </c>
      <c r="C129" s="15" t="s">
        <v>596</v>
      </c>
      <c r="D129" s="14">
        <v>62516.0</v>
      </c>
      <c r="E129" s="15" t="s">
        <v>559</v>
      </c>
    </row>
    <row r="130">
      <c r="A130" s="15" t="s">
        <v>582</v>
      </c>
      <c r="B130" s="3" t="s">
        <v>244</v>
      </c>
      <c r="C130" s="15" t="s">
        <v>597</v>
      </c>
      <c r="D130" s="14">
        <v>1.0</v>
      </c>
      <c r="E130" s="15" t="s">
        <v>559</v>
      </c>
    </row>
    <row r="131">
      <c r="A131" s="15" t="s">
        <v>582</v>
      </c>
      <c r="B131" s="3" t="s">
        <v>598</v>
      </c>
      <c r="C131" s="15" t="s">
        <v>599</v>
      </c>
      <c r="D131" s="14">
        <v>40449.0</v>
      </c>
      <c r="E131" s="15" t="s">
        <v>559</v>
      </c>
    </row>
    <row r="132">
      <c r="A132" s="15" t="s">
        <v>582</v>
      </c>
      <c r="B132" s="3" t="s">
        <v>248</v>
      </c>
      <c r="C132" s="15" t="s">
        <v>600</v>
      </c>
      <c r="D132" s="14">
        <v>48517.0</v>
      </c>
      <c r="E132" s="15" t="s">
        <v>559</v>
      </c>
    </row>
    <row r="133">
      <c r="A133" s="15" t="s">
        <v>582</v>
      </c>
      <c r="B133" s="3" t="s">
        <v>250</v>
      </c>
      <c r="C133" s="15" t="s">
        <v>601</v>
      </c>
      <c r="D133" s="14">
        <v>0.0</v>
      </c>
      <c r="E133" s="15" t="s">
        <v>559</v>
      </c>
    </row>
    <row r="134">
      <c r="A134" s="15" t="s">
        <v>582</v>
      </c>
      <c r="B134" s="3" t="s">
        <v>252</v>
      </c>
      <c r="C134" s="15" t="s">
        <v>602</v>
      </c>
      <c r="D134" s="14">
        <v>8.0</v>
      </c>
      <c r="E134" s="15" t="s">
        <v>559</v>
      </c>
    </row>
    <row r="135">
      <c r="A135" s="15" t="s">
        <v>582</v>
      </c>
      <c r="B135" s="3" t="s">
        <v>254</v>
      </c>
      <c r="C135" s="15" t="s">
        <v>603</v>
      </c>
      <c r="D135" s="14">
        <v>5.0</v>
      </c>
      <c r="E135" s="15" t="s">
        <v>559</v>
      </c>
    </row>
    <row r="136">
      <c r="A136" s="15" t="s">
        <v>582</v>
      </c>
      <c r="B136" s="3" t="s">
        <v>256</v>
      </c>
      <c r="C136" s="15" t="s">
        <v>604</v>
      </c>
      <c r="D136" s="14">
        <v>46792.0</v>
      </c>
      <c r="E136" s="15" t="s">
        <v>559</v>
      </c>
    </row>
    <row r="137">
      <c r="A137" s="15" t="s">
        <v>582</v>
      </c>
      <c r="B137" s="3" t="s">
        <v>258</v>
      </c>
      <c r="C137" s="15" t="s">
        <v>605</v>
      </c>
      <c r="D137" s="14">
        <v>91450.0</v>
      </c>
      <c r="E137" s="15" t="s">
        <v>559</v>
      </c>
    </row>
    <row r="138">
      <c r="A138" s="15" t="s">
        <v>582</v>
      </c>
      <c r="B138" s="3" t="s">
        <v>260</v>
      </c>
      <c r="C138" s="15" t="s">
        <v>606</v>
      </c>
      <c r="D138" s="14">
        <v>53171.0</v>
      </c>
      <c r="E138" s="15" t="s">
        <v>559</v>
      </c>
    </row>
    <row r="139">
      <c r="A139" s="15" t="s">
        <v>582</v>
      </c>
      <c r="B139" s="3" t="s">
        <v>262</v>
      </c>
      <c r="C139" s="15" t="s">
        <v>607</v>
      </c>
      <c r="D139" s="14">
        <v>1.0</v>
      </c>
      <c r="E139" s="15" t="s">
        <v>559</v>
      </c>
    </row>
    <row r="140">
      <c r="A140" s="15" t="s">
        <v>582</v>
      </c>
      <c r="B140" s="3" t="s">
        <v>264</v>
      </c>
      <c r="C140" s="15" t="s">
        <v>608</v>
      </c>
      <c r="D140" s="14">
        <v>77949.0</v>
      </c>
      <c r="E140" s="15" t="s">
        <v>559</v>
      </c>
    </row>
    <row r="141">
      <c r="A141" s="15" t="s">
        <v>582</v>
      </c>
      <c r="B141" s="3" t="s">
        <v>266</v>
      </c>
      <c r="C141" s="15" t="s">
        <v>609</v>
      </c>
      <c r="D141" s="14">
        <v>7.0</v>
      </c>
      <c r="E141" s="15" t="s">
        <v>559</v>
      </c>
    </row>
    <row r="142">
      <c r="A142" s="15" t="s">
        <v>582</v>
      </c>
      <c r="B142" s="3" t="s">
        <v>268</v>
      </c>
      <c r="C142" s="15" t="s">
        <v>610</v>
      </c>
      <c r="D142" s="14">
        <v>39929.0</v>
      </c>
      <c r="E142" s="15" t="s">
        <v>559</v>
      </c>
    </row>
    <row r="143">
      <c r="A143" s="15" t="s">
        <v>582</v>
      </c>
      <c r="B143" s="3" t="s">
        <v>270</v>
      </c>
      <c r="C143" s="15" t="s">
        <v>611</v>
      </c>
      <c r="D143" s="14">
        <v>41213.0</v>
      </c>
      <c r="E143" s="15" t="s">
        <v>559</v>
      </c>
    </row>
    <row r="144">
      <c r="A144" s="15" t="s">
        <v>582</v>
      </c>
      <c r="B144" s="3" t="s">
        <v>272</v>
      </c>
      <c r="C144" s="15" t="s">
        <v>612</v>
      </c>
      <c r="D144" s="14">
        <v>62760.0</v>
      </c>
      <c r="E144" s="15" t="s">
        <v>559</v>
      </c>
    </row>
    <row r="145">
      <c r="A145" s="15" t="s">
        <v>582</v>
      </c>
      <c r="B145" s="3" t="s">
        <v>274</v>
      </c>
      <c r="C145" s="15" t="s">
        <v>613</v>
      </c>
      <c r="D145" s="14">
        <v>0.0</v>
      </c>
      <c r="E145" s="15" t="s">
        <v>559</v>
      </c>
    </row>
    <row r="146">
      <c r="A146" s="15" t="s">
        <v>582</v>
      </c>
      <c r="B146" s="3" t="s">
        <v>276</v>
      </c>
      <c r="C146" s="15" t="s">
        <v>614</v>
      </c>
      <c r="D146" s="14">
        <v>74518.0</v>
      </c>
      <c r="E146" s="15" t="s">
        <v>559</v>
      </c>
    </row>
    <row r="147">
      <c r="A147" s="15" t="s">
        <v>582</v>
      </c>
      <c r="B147" s="3" t="s">
        <v>278</v>
      </c>
      <c r="C147" s="15" t="s">
        <v>615</v>
      </c>
      <c r="D147" s="14">
        <v>9.0</v>
      </c>
      <c r="E147" s="15" t="s">
        <v>559</v>
      </c>
    </row>
    <row r="148">
      <c r="A148" s="15" t="s">
        <v>582</v>
      </c>
      <c r="B148" s="3" t="s">
        <v>280</v>
      </c>
      <c r="C148" s="15" t="s">
        <v>616</v>
      </c>
      <c r="D148" s="14">
        <v>1.0</v>
      </c>
      <c r="E148" s="15" t="s">
        <v>559</v>
      </c>
    </row>
    <row r="149">
      <c r="A149" s="15" t="s">
        <v>582</v>
      </c>
      <c r="B149" s="3" t="s">
        <v>282</v>
      </c>
      <c r="C149" s="15" t="s">
        <v>617</v>
      </c>
      <c r="D149" s="14">
        <v>56272.0</v>
      </c>
      <c r="E149" s="15" t="s">
        <v>559</v>
      </c>
    </row>
    <row r="150">
      <c r="A150" s="15" t="s">
        <v>582</v>
      </c>
      <c r="B150" s="3" t="s">
        <v>284</v>
      </c>
      <c r="C150" s="15" t="s">
        <v>618</v>
      </c>
      <c r="D150" s="14">
        <v>110113.0</v>
      </c>
      <c r="E150" s="15" t="s">
        <v>559</v>
      </c>
    </row>
    <row r="151">
      <c r="A151" s="15" t="s">
        <v>582</v>
      </c>
      <c r="B151" s="3" t="s">
        <v>286</v>
      </c>
      <c r="C151" s="15" t="s">
        <v>619</v>
      </c>
      <c r="D151" s="14">
        <v>49611.0</v>
      </c>
      <c r="E151" s="15" t="s">
        <v>559</v>
      </c>
    </row>
    <row r="152">
      <c r="A152" s="15" t="s">
        <v>582</v>
      </c>
      <c r="B152" s="3" t="s">
        <v>288</v>
      </c>
      <c r="C152" s="15" t="s">
        <v>620</v>
      </c>
      <c r="D152" s="14">
        <v>6.0</v>
      </c>
      <c r="E152" s="15" t="s">
        <v>559</v>
      </c>
    </row>
    <row r="153">
      <c r="A153" s="15" t="s">
        <v>582</v>
      </c>
      <c r="B153" s="3" t="s">
        <v>290</v>
      </c>
      <c r="C153" s="15" t="s">
        <v>621</v>
      </c>
      <c r="D153" s="14">
        <v>66578.0</v>
      </c>
      <c r="E153" s="15" t="s">
        <v>559</v>
      </c>
    </row>
    <row r="154">
      <c r="A154" s="15" t="s">
        <v>582</v>
      </c>
      <c r="B154" s="3" t="s">
        <v>292</v>
      </c>
      <c r="C154" s="15" t="s">
        <v>622</v>
      </c>
      <c r="D154" s="14">
        <v>88303.0</v>
      </c>
      <c r="E154" s="15" t="s">
        <v>559</v>
      </c>
    </row>
    <row r="155">
      <c r="A155" s="15" t="s">
        <v>582</v>
      </c>
      <c r="B155" s="3" t="s">
        <v>294</v>
      </c>
      <c r="C155" s="15" t="s">
        <v>623</v>
      </c>
      <c r="D155" s="14">
        <v>33520.0</v>
      </c>
      <c r="E155" s="15" t="s">
        <v>559</v>
      </c>
    </row>
    <row r="156">
      <c r="A156" s="15" t="s">
        <v>582</v>
      </c>
      <c r="B156" s="3" t="s">
        <v>296</v>
      </c>
      <c r="C156" s="15" t="s">
        <v>624</v>
      </c>
      <c r="D156" s="14">
        <v>0.0</v>
      </c>
      <c r="E156" s="15" t="s">
        <v>559</v>
      </c>
    </row>
    <row r="157">
      <c r="A157" s="15" t="s">
        <v>582</v>
      </c>
      <c r="B157" s="3" t="s">
        <v>298</v>
      </c>
      <c r="C157" s="15" t="s">
        <v>625</v>
      </c>
      <c r="D157" s="14">
        <v>79471.0</v>
      </c>
      <c r="E157" s="15" t="s">
        <v>559</v>
      </c>
    </row>
    <row r="158">
      <c r="A158" s="15" t="s">
        <v>582</v>
      </c>
      <c r="B158" s="3" t="s">
        <v>300</v>
      </c>
      <c r="C158" s="15" t="s">
        <v>626</v>
      </c>
      <c r="D158" s="14">
        <v>202054.0</v>
      </c>
      <c r="E158" s="15" t="s">
        <v>559</v>
      </c>
    </row>
    <row r="159">
      <c r="A159" s="15" t="s">
        <v>582</v>
      </c>
      <c r="B159" s="3" t="s">
        <v>302</v>
      </c>
      <c r="C159" s="15" t="s">
        <v>627</v>
      </c>
      <c r="D159" s="14">
        <v>52881.0</v>
      </c>
      <c r="E159" s="15" t="s">
        <v>559</v>
      </c>
    </row>
    <row r="160">
      <c r="A160" s="15" t="s">
        <v>582</v>
      </c>
      <c r="B160" s="3" t="s">
        <v>304</v>
      </c>
      <c r="C160" s="15" t="s">
        <v>628</v>
      </c>
      <c r="D160" s="14">
        <v>57855.0</v>
      </c>
      <c r="E160" s="15" t="s">
        <v>559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3" max="3" width="22.25"/>
    <col customWidth="1" min="4" max="4" width="12.38"/>
  </cols>
  <sheetData>
    <row r="1">
      <c r="A1" s="16" t="s">
        <v>0</v>
      </c>
      <c r="B1" s="16" t="s">
        <v>542</v>
      </c>
      <c r="C1" s="2" t="s">
        <v>541</v>
      </c>
      <c r="D1" s="16" t="s">
        <v>543</v>
      </c>
    </row>
    <row r="2">
      <c r="A2" s="16" t="s">
        <v>305</v>
      </c>
      <c r="B2" s="16" t="s">
        <v>306</v>
      </c>
      <c r="C2" s="3" t="s">
        <v>307</v>
      </c>
      <c r="D2" s="17">
        <v>76017.0</v>
      </c>
    </row>
    <row r="3">
      <c r="A3" s="16" t="s">
        <v>305</v>
      </c>
      <c r="B3" s="16" t="s">
        <v>308</v>
      </c>
      <c r="C3" s="3" t="s">
        <v>309</v>
      </c>
      <c r="D3" s="17">
        <v>50010.0</v>
      </c>
    </row>
    <row r="4">
      <c r="A4" s="16" t="s">
        <v>305</v>
      </c>
      <c r="B4" s="16" t="s">
        <v>310</v>
      </c>
      <c r="C4" s="3" t="s">
        <v>311</v>
      </c>
      <c r="D4" s="17">
        <v>51682.0</v>
      </c>
    </row>
    <row r="5">
      <c r="A5" s="16" t="s">
        <v>305</v>
      </c>
      <c r="B5" s="16" t="s">
        <v>312</v>
      </c>
      <c r="C5" s="3" t="s">
        <v>313</v>
      </c>
      <c r="D5" s="17">
        <v>60003.0</v>
      </c>
    </row>
    <row r="6">
      <c r="A6" s="16" t="s">
        <v>305</v>
      </c>
      <c r="B6" s="16" t="s">
        <v>314</v>
      </c>
      <c r="C6" s="3" t="s">
        <v>315</v>
      </c>
      <c r="D6" s="17">
        <v>48301.0</v>
      </c>
    </row>
    <row r="7">
      <c r="A7" s="16" t="s">
        <v>305</v>
      </c>
      <c r="B7" s="16" t="s">
        <v>316</v>
      </c>
      <c r="C7" s="3" t="s">
        <v>317</v>
      </c>
      <c r="D7" s="17">
        <v>46938.0</v>
      </c>
    </row>
    <row r="8">
      <c r="A8" s="16" t="s">
        <v>305</v>
      </c>
      <c r="B8" s="16" t="s">
        <v>318</v>
      </c>
      <c r="C8" s="3" t="s">
        <v>319</v>
      </c>
      <c r="D8" s="17">
        <v>45128.0</v>
      </c>
    </row>
    <row r="9">
      <c r="A9" s="16" t="s">
        <v>305</v>
      </c>
      <c r="B9" s="16" t="s">
        <v>320</v>
      </c>
      <c r="C9" s="3" t="s">
        <v>321</v>
      </c>
      <c r="D9" s="17">
        <v>69858.0</v>
      </c>
    </row>
    <row r="10">
      <c r="A10" s="16" t="s">
        <v>305</v>
      </c>
      <c r="B10" s="16" t="s">
        <v>322</v>
      </c>
      <c r="C10" s="3" t="s">
        <v>323</v>
      </c>
      <c r="D10" s="17">
        <v>66182.0</v>
      </c>
    </row>
    <row r="11">
      <c r="A11" s="16" t="s">
        <v>305</v>
      </c>
      <c r="B11" s="16" t="s">
        <v>324</v>
      </c>
      <c r="C11" s="3" t="s">
        <v>325</v>
      </c>
      <c r="D11" s="17">
        <v>32790.0</v>
      </c>
    </row>
    <row r="12">
      <c r="A12" s="16" t="s">
        <v>305</v>
      </c>
      <c r="B12" s="16" t="s">
        <v>326</v>
      </c>
      <c r="C12" s="3" t="s">
        <v>327</v>
      </c>
      <c r="D12" s="17">
        <v>32600.0</v>
      </c>
    </row>
    <row r="13">
      <c r="A13" s="16" t="s">
        <v>305</v>
      </c>
      <c r="B13" s="16" t="s">
        <v>328</v>
      </c>
      <c r="C13" s="3" t="s">
        <v>329</v>
      </c>
      <c r="D13" s="17">
        <v>66490.0</v>
      </c>
    </row>
    <row r="14">
      <c r="A14" s="16" t="s">
        <v>305</v>
      </c>
      <c r="B14" s="16" t="s">
        <v>330</v>
      </c>
      <c r="C14" s="3" t="s">
        <v>331</v>
      </c>
      <c r="D14" s="17">
        <v>32077.0</v>
      </c>
    </row>
    <row r="15">
      <c r="A15" s="16" t="s">
        <v>305</v>
      </c>
      <c r="B15" s="16" t="s">
        <v>332</v>
      </c>
      <c r="C15" s="3" t="s">
        <v>333</v>
      </c>
      <c r="D15" s="17">
        <v>129995.0</v>
      </c>
    </row>
    <row r="16">
      <c r="A16" s="16" t="s">
        <v>305</v>
      </c>
      <c r="B16" s="16" t="s">
        <v>334</v>
      </c>
      <c r="C16" s="3" t="s">
        <v>335</v>
      </c>
      <c r="D16" s="17">
        <v>49197.0</v>
      </c>
    </row>
    <row r="17">
      <c r="A17" s="16" t="s">
        <v>305</v>
      </c>
      <c r="B17" s="16" t="s">
        <v>336</v>
      </c>
      <c r="C17" s="3" t="s">
        <v>337</v>
      </c>
      <c r="D17" s="17">
        <v>47994.0</v>
      </c>
    </row>
    <row r="18">
      <c r="A18" s="16" t="s">
        <v>305</v>
      </c>
      <c r="B18" s="16" t="s">
        <v>338</v>
      </c>
      <c r="C18" s="3" t="s">
        <v>339</v>
      </c>
      <c r="D18" s="17">
        <v>71246.0</v>
      </c>
    </row>
    <row r="19">
      <c r="A19" s="16" t="s">
        <v>305</v>
      </c>
      <c r="B19" s="16" t="s">
        <v>340</v>
      </c>
      <c r="C19" s="3" t="s">
        <v>341</v>
      </c>
      <c r="D19" s="17">
        <v>53907.0</v>
      </c>
    </row>
    <row r="20">
      <c r="A20" s="16" t="s">
        <v>305</v>
      </c>
      <c r="B20" s="16" t="s">
        <v>342</v>
      </c>
      <c r="C20" s="3" t="s">
        <v>343</v>
      </c>
      <c r="D20" s="17">
        <v>44613.0</v>
      </c>
    </row>
    <row r="21">
      <c r="A21" s="16" t="s">
        <v>305</v>
      </c>
      <c r="B21" s="16" t="s">
        <v>344</v>
      </c>
      <c r="C21" s="3" t="s">
        <v>345</v>
      </c>
      <c r="D21" s="17">
        <v>55353.0</v>
      </c>
    </row>
    <row r="22">
      <c r="A22" s="16" t="s">
        <v>305</v>
      </c>
      <c r="B22" s="16" t="s">
        <v>305</v>
      </c>
      <c r="C22" s="3" t="s">
        <v>346</v>
      </c>
      <c r="D22" s="17">
        <v>88113.0</v>
      </c>
    </row>
    <row r="23">
      <c r="A23" s="16" t="s">
        <v>305</v>
      </c>
      <c r="B23" s="16" t="s">
        <v>347</v>
      </c>
      <c r="C23" s="3" t="s">
        <v>348</v>
      </c>
      <c r="D23" s="17">
        <v>35667.0</v>
      </c>
    </row>
    <row r="24">
      <c r="A24" s="16" t="s">
        <v>305</v>
      </c>
      <c r="B24" s="16" t="s">
        <v>349</v>
      </c>
      <c r="C24" s="3" t="s">
        <v>350</v>
      </c>
      <c r="D24" s="17">
        <v>35616.0</v>
      </c>
    </row>
    <row r="25">
      <c r="A25" s="16" t="s">
        <v>305</v>
      </c>
      <c r="B25" s="16" t="s">
        <v>351</v>
      </c>
      <c r="C25" s="3" t="s">
        <v>352</v>
      </c>
      <c r="D25" s="17">
        <v>35154.0</v>
      </c>
    </row>
    <row r="26">
      <c r="A26" s="16" t="s">
        <v>305</v>
      </c>
      <c r="B26" s="16" t="s">
        <v>353</v>
      </c>
      <c r="C26" s="3" t="s">
        <v>354</v>
      </c>
      <c r="D26" s="17">
        <v>72215.0</v>
      </c>
    </row>
    <row r="27">
      <c r="A27" s="16" t="s">
        <v>305</v>
      </c>
      <c r="B27" s="16" t="s">
        <v>355</v>
      </c>
      <c r="C27" s="3" t="s">
        <v>356</v>
      </c>
      <c r="D27" s="17">
        <v>56021.0</v>
      </c>
    </row>
    <row r="28">
      <c r="A28" s="16" t="s">
        <v>305</v>
      </c>
      <c r="B28" s="16" t="s">
        <v>357</v>
      </c>
      <c r="C28" s="3" t="s">
        <v>358</v>
      </c>
      <c r="D28" s="17">
        <v>53020.0</v>
      </c>
    </row>
    <row r="29">
      <c r="A29" s="16" t="s">
        <v>305</v>
      </c>
      <c r="B29" s="16" t="s">
        <v>359</v>
      </c>
      <c r="C29" s="3" t="s">
        <v>360</v>
      </c>
      <c r="D29" s="17">
        <v>33236.0</v>
      </c>
    </row>
    <row r="30">
      <c r="A30" s="16" t="s">
        <v>305</v>
      </c>
      <c r="B30" s="16" t="s">
        <v>361</v>
      </c>
      <c r="C30" s="3" t="s">
        <v>362</v>
      </c>
      <c r="D30" s="17">
        <v>43897.0</v>
      </c>
    </row>
    <row r="31">
      <c r="A31" s="16" t="s">
        <v>305</v>
      </c>
      <c r="B31" s="16" t="s">
        <v>363</v>
      </c>
      <c r="C31" s="3" t="s">
        <v>364</v>
      </c>
      <c r="D31" s="17">
        <v>50143.0</v>
      </c>
    </row>
    <row r="32">
      <c r="A32" s="16" t="s">
        <v>305</v>
      </c>
      <c r="B32" s="16" t="s">
        <v>365</v>
      </c>
      <c r="C32" s="3" t="s">
        <v>366</v>
      </c>
      <c r="D32" s="17">
        <v>41942.0</v>
      </c>
    </row>
    <row r="33">
      <c r="A33" s="16" t="s">
        <v>305</v>
      </c>
      <c r="B33" s="16" t="s">
        <v>367</v>
      </c>
      <c r="C33" s="3" t="s">
        <v>368</v>
      </c>
      <c r="D33" s="17">
        <v>58722.0</v>
      </c>
    </row>
    <row r="34">
      <c r="A34" s="16" t="s">
        <v>305</v>
      </c>
      <c r="B34" s="16" t="s">
        <v>369</v>
      </c>
      <c r="C34" s="3" t="s">
        <v>370</v>
      </c>
      <c r="D34" s="17">
        <v>33599.0</v>
      </c>
    </row>
    <row r="35">
      <c r="A35" s="16" t="s">
        <v>305</v>
      </c>
      <c r="B35" s="16" t="s">
        <v>371</v>
      </c>
      <c r="C35" s="3" t="s">
        <v>372</v>
      </c>
      <c r="D35" s="17">
        <v>35269.0</v>
      </c>
    </row>
    <row r="36">
      <c r="A36" s="16" t="s">
        <v>373</v>
      </c>
      <c r="B36" s="16" t="s">
        <v>374</v>
      </c>
      <c r="C36" s="3" t="s">
        <v>375</v>
      </c>
      <c r="D36" s="17">
        <v>30931.0</v>
      </c>
    </row>
    <row r="37">
      <c r="A37" s="16" t="s">
        <v>373</v>
      </c>
      <c r="B37" s="16" t="s">
        <v>376</v>
      </c>
      <c r="C37" s="3" t="s">
        <v>377</v>
      </c>
      <c r="D37" s="17">
        <v>36388.0</v>
      </c>
    </row>
    <row r="38">
      <c r="A38" s="16" t="s">
        <v>373</v>
      </c>
      <c r="B38" s="16" t="s">
        <v>378</v>
      </c>
      <c r="C38" s="3" t="s">
        <v>379</v>
      </c>
      <c r="D38" s="17">
        <v>63687.0</v>
      </c>
    </row>
    <row r="39">
      <c r="A39" s="16" t="s">
        <v>373</v>
      </c>
      <c r="B39" s="16" t="s">
        <v>380</v>
      </c>
      <c r="C39" s="3" t="s">
        <v>381</v>
      </c>
      <c r="D39" s="17">
        <v>32597.0</v>
      </c>
    </row>
    <row r="40">
      <c r="A40" s="16" t="s">
        <v>373</v>
      </c>
      <c r="B40" s="16" t="s">
        <v>382</v>
      </c>
      <c r="C40" s="3" t="s">
        <v>383</v>
      </c>
      <c r="D40" s="17">
        <v>66909.0</v>
      </c>
    </row>
    <row r="41">
      <c r="A41" s="16" t="s">
        <v>373</v>
      </c>
      <c r="B41" s="16" t="s">
        <v>384</v>
      </c>
      <c r="C41" s="3" t="s">
        <v>385</v>
      </c>
      <c r="D41" s="17">
        <v>85620.0</v>
      </c>
    </row>
    <row r="42">
      <c r="A42" s="16" t="s">
        <v>373</v>
      </c>
      <c r="B42" s="16" t="s">
        <v>386</v>
      </c>
      <c r="C42" s="3" t="s">
        <v>387</v>
      </c>
      <c r="D42" s="17">
        <v>39458.0</v>
      </c>
    </row>
    <row r="43">
      <c r="A43" s="16" t="s">
        <v>373</v>
      </c>
      <c r="B43" s="16" t="s">
        <v>388</v>
      </c>
      <c r="C43" s="3" t="s">
        <v>389</v>
      </c>
      <c r="D43" s="17">
        <v>45668.0</v>
      </c>
    </row>
    <row r="44">
      <c r="A44" s="16" t="s">
        <v>373</v>
      </c>
      <c r="B44" s="16" t="s">
        <v>390</v>
      </c>
      <c r="C44" s="3" t="s">
        <v>391</v>
      </c>
      <c r="D44" s="17">
        <v>31690.0</v>
      </c>
    </row>
    <row r="45">
      <c r="A45" s="16" t="s">
        <v>373</v>
      </c>
      <c r="B45" s="16" t="s">
        <v>392</v>
      </c>
      <c r="C45" s="3" t="s">
        <v>393</v>
      </c>
      <c r="D45" s="17">
        <v>49395.0</v>
      </c>
    </row>
    <row r="46">
      <c r="A46" s="16" t="s">
        <v>373</v>
      </c>
      <c r="B46" s="16" t="s">
        <v>394</v>
      </c>
      <c r="C46" s="3" t="s">
        <v>395</v>
      </c>
      <c r="D46" s="17">
        <v>45786.0</v>
      </c>
    </row>
    <row r="47">
      <c r="A47" s="16" t="s">
        <v>373</v>
      </c>
      <c r="B47" s="16" t="s">
        <v>396</v>
      </c>
      <c r="C47" s="3" t="s">
        <v>397</v>
      </c>
      <c r="D47" s="17">
        <v>26738.0</v>
      </c>
    </row>
    <row r="48">
      <c r="A48" s="16" t="s">
        <v>373</v>
      </c>
      <c r="B48" s="16" t="s">
        <v>398</v>
      </c>
      <c r="C48" s="3" t="s">
        <v>399</v>
      </c>
      <c r="D48" s="17">
        <v>71547.0</v>
      </c>
    </row>
    <row r="49">
      <c r="A49" s="16" t="s">
        <v>373</v>
      </c>
      <c r="B49" s="16" t="s">
        <v>400</v>
      </c>
      <c r="C49" s="3" t="s">
        <v>401</v>
      </c>
      <c r="D49" s="17">
        <v>48253.0</v>
      </c>
    </row>
    <row r="50">
      <c r="A50" s="16" t="s">
        <v>373</v>
      </c>
      <c r="B50" s="16" t="s">
        <v>402</v>
      </c>
      <c r="C50" s="3" t="s">
        <v>403</v>
      </c>
      <c r="D50" s="17">
        <v>35863.0</v>
      </c>
    </row>
    <row r="51">
      <c r="A51" s="16" t="s">
        <v>373</v>
      </c>
      <c r="B51" s="16" t="s">
        <v>404</v>
      </c>
      <c r="C51" s="3" t="s">
        <v>405</v>
      </c>
      <c r="D51" s="17">
        <v>33421.0</v>
      </c>
    </row>
    <row r="52">
      <c r="A52" s="16" t="s">
        <v>373</v>
      </c>
      <c r="B52" s="16" t="s">
        <v>406</v>
      </c>
      <c r="C52" s="3" t="s">
        <v>407</v>
      </c>
      <c r="D52" s="17">
        <v>48334.0</v>
      </c>
    </row>
    <row r="53">
      <c r="A53" s="16" t="s">
        <v>373</v>
      </c>
      <c r="B53" s="16" t="s">
        <v>408</v>
      </c>
      <c r="C53" s="3" t="s">
        <v>409</v>
      </c>
      <c r="D53" s="17">
        <v>38689.0</v>
      </c>
    </row>
    <row r="54">
      <c r="A54" s="16" t="s">
        <v>373</v>
      </c>
      <c r="B54" s="16" t="s">
        <v>629</v>
      </c>
      <c r="C54" s="3" t="s">
        <v>411</v>
      </c>
      <c r="D54" s="17">
        <v>79148.0</v>
      </c>
    </row>
    <row r="55">
      <c r="A55" s="16" t="s">
        <v>373</v>
      </c>
      <c r="B55" s="16" t="s">
        <v>412</v>
      </c>
      <c r="C55" s="3" t="s">
        <v>413</v>
      </c>
      <c r="D55" s="17">
        <v>49216.0</v>
      </c>
    </row>
    <row r="56">
      <c r="A56" s="16" t="s">
        <v>373</v>
      </c>
      <c r="B56" s="16" t="s">
        <v>414</v>
      </c>
      <c r="C56" s="3" t="s">
        <v>415</v>
      </c>
      <c r="D56" s="17">
        <v>62802.0</v>
      </c>
    </row>
    <row r="57">
      <c r="A57" s="16" t="s">
        <v>498</v>
      </c>
      <c r="B57" s="16" t="s">
        <v>499</v>
      </c>
      <c r="C57" s="3" t="s">
        <v>500</v>
      </c>
      <c r="D57" s="17">
        <v>37457.0</v>
      </c>
    </row>
    <row r="58">
      <c r="A58" s="16" t="s">
        <v>498</v>
      </c>
      <c r="B58" s="16" t="s">
        <v>501</v>
      </c>
      <c r="C58" s="3" t="s">
        <v>502</v>
      </c>
      <c r="D58" s="17">
        <v>43387.0</v>
      </c>
    </row>
    <row r="59">
      <c r="A59" s="16" t="s">
        <v>498</v>
      </c>
      <c r="B59" s="16" t="s">
        <v>630</v>
      </c>
      <c r="C59" s="3" t="s">
        <v>504</v>
      </c>
      <c r="D59" s="17">
        <v>70759.0</v>
      </c>
    </row>
    <row r="60">
      <c r="A60" s="16" t="s">
        <v>498</v>
      </c>
      <c r="B60" s="16" t="s">
        <v>505</v>
      </c>
      <c r="C60" s="3" t="s">
        <v>506</v>
      </c>
      <c r="D60" s="17">
        <v>49602.0</v>
      </c>
    </row>
    <row r="61">
      <c r="A61" s="16" t="s">
        <v>498</v>
      </c>
      <c r="B61" s="16" t="s">
        <v>507</v>
      </c>
      <c r="C61" s="3" t="s">
        <v>508</v>
      </c>
      <c r="D61" s="17">
        <v>57777.0</v>
      </c>
    </row>
    <row r="62">
      <c r="A62" s="16" t="s">
        <v>498</v>
      </c>
      <c r="B62" s="16" t="s">
        <v>509</v>
      </c>
      <c r="C62" s="3" t="s">
        <v>510</v>
      </c>
      <c r="D62" s="17">
        <v>62429.0</v>
      </c>
    </row>
    <row r="63">
      <c r="A63" s="16" t="s">
        <v>498</v>
      </c>
      <c r="B63" s="16" t="s">
        <v>511</v>
      </c>
      <c r="C63" s="3" t="s">
        <v>512</v>
      </c>
      <c r="D63" s="17">
        <v>106955.0</v>
      </c>
    </row>
    <row r="64">
      <c r="A64" s="16" t="s">
        <v>498</v>
      </c>
      <c r="B64" s="16" t="s">
        <v>513</v>
      </c>
      <c r="C64" s="3" t="s">
        <v>514</v>
      </c>
      <c r="D64" s="17">
        <v>80435.0</v>
      </c>
    </row>
    <row r="65">
      <c r="A65" s="16" t="s">
        <v>498</v>
      </c>
      <c r="B65" s="16" t="s">
        <v>515</v>
      </c>
      <c r="C65" s="3" t="s">
        <v>516</v>
      </c>
      <c r="D65" s="17">
        <v>41874.0</v>
      </c>
    </row>
    <row r="66">
      <c r="A66" s="16" t="s">
        <v>498</v>
      </c>
      <c r="B66" s="16" t="s">
        <v>517</v>
      </c>
      <c r="C66" s="3" t="s">
        <v>518</v>
      </c>
      <c r="D66" s="17">
        <v>51588.0</v>
      </c>
    </row>
    <row r="67">
      <c r="A67" s="16" t="s">
        <v>498</v>
      </c>
      <c r="B67" s="16" t="s">
        <v>519</v>
      </c>
      <c r="C67" s="3" t="s">
        <v>520</v>
      </c>
      <c r="D67" s="17">
        <v>54110.0</v>
      </c>
    </row>
    <row r="68">
      <c r="A68" s="16" t="s">
        <v>498</v>
      </c>
      <c r="B68" s="16" t="s">
        <v>521</v>
      </c>
      <c r="C68" s="3" t="s">
        <v>522</v>
      </c>
      <c r="D68" s="17">
        <v>63853.0</v>
      </c>
    </row>
    <row r="69">
      <c r="A69" s="16" t="s">
        <v>498</v>
      </c>
      <c r="B69" s="16" t="s">
        <v>523</v>
      </c>
      <c r="C69" s="3" t="s">
        <v>524</v>
      </c>
      <c r="D69" s="17">
        <v>70504.0</v>
      </c>
    </row>
    <row r="70">
      <c r="A70" s="16" t="s">
        <v>498</v>
      </c>
      <c r="B70" s="16" t="s">
        <v>525</v>
      </c>
      <c r="C70" s="3" t="s">
        <v>526</v>
      </c>
      <c r="D70" s="17">
        <v>61731.0</v>
      </c>
    </row>
    <row r="71">
      <c r="A71" s="16" t="s">
        <v>113</v>
      </c>
      <c r="B71" s="16" t="s">
        <v>114</v>
      </c>
      <c r="C71" s="3" t="s">
        <v>115</v>
      </c>
      <c r="D71" s="17">
        <v>28030.0</v>
      </c>
    </row>
    <row r="72">
      <c r="A72" s="16" t="s">
        <v>113</v>
      </c>
      <c r="B72" s="16" t="s">
        <v>116</v>
      </c>
      <c r="C72" s="3" t="s">
        <v>117</v>
      </c>
      <c r="D72" s="17">
        <v>65758.0</v>
      </c>
    </row>
    <row r="73">
      <c r="A73" s="16" t="s">
        <v>113</v>
      </c>
      <c r="B73" s="16" t="s">
        <v>118</v>
      </c>
      <c r="C73" s="3" t="s">
        <v>119</v>
      </c>
      <c r="D73" s="17">
        <v>82745.0</v>
      </c>
    </row>
    <row r="74">
      <c r="A74" s="16" t="s">
        <v>113</v>
      </c>
      <c r="B74" s="16" t="s">
        <v>120</v>
      </c>
      <c r="C74" s="3" t="s">
        <v>121</v>
      </c>
      <c r="D74" s="17">
        <v>38416.0</v>
      </c>
    </row>
    <row r="75">
      <c r="A75" s="16" t="s">
        <v>113</v>
      </c>
      <c r="B75" s="16" t="s">
        <v>122</v>
      </c>
      <c r="C75" s="3" t="s">
        <v>123</v>
      </c>
      <c r="D75" s="17">
        <v>28270.0</v>
      </c>
    </row>
    <row r="76">
      <c r="A76" s="16" t="s">
        <v>113</v>
      </c>
      <c r="B76" s="16" t="s">
        <v>124</v>
      </c>
      <c r="C76" s="3" t="s">
        <v>125</v>
      </c>
      <c r="D76" s="17">
        <v>64974.0</v>
      </c>
    </row>
    <row r="77">
      <c r="A77" s="16" t="s">
        <v>113</v>
      </c>
      <c r="B77" s="16" t="s">
        <v>126</v>
      </c>
      <c r="C77" s="3" t="s">
        <v>127</v>
      </c>
      <c r="D77" s="17">
        <v>31959.0</v>
      </c>
    </row>
    <row r="78">
      <c r="A78" s="16" t="s">
        <v>113</v>
      </c>
      <c r="B78" s="16" t="s">
        <v>128</v>
      </c>
      <c r="C78" s="3" t="s">
        <v>129</v>
      </c>
      <c r="D78" s="17">
        <v>44816.0</v>
      </c>
    </row>
    <row r="79">
      <c r="A79" s="16" t="s">
        <v>113</v>
      </c>
      <c r="B79" s="16" t="s">
        <v>130</v>
      </c>
      <c r="C79" s="3" t="s">
        <v>131</v>
      </c>
      <c r="D79" s="17">
        <v>26511.0</v>
      </c>
    </row>
    <row r="80">
      <c r="A80" s="16" t="s">
        <v>113</v>
      </c>
      <c r="B80" s="16" t="s">
        <v>132</v>
      </c>
      <c r="C80" s="3" t="s">
        <v>133</v>
      </c>
      <c r="D80" s="17">
        <v>25562.0</v>
      </c>
    </row>
    <row r="81">
      <c r="A81" s="16" t="s">
        <v>113</v>
      </c>
      <c r="B81" s="16" t="s">
        <v>134</v>
      </c>
      <c r="C81" s="3" t="s">
        <v>135</v>
      </c>
      <c r="D81" s="17">
        <v>92390.0</v>
      </c>
    </row>
    <row r="82">
      <c r="A82" s="16" t="s">
        <v>113</v>
      </c>
      <c r="B82" s="16" t="s">
        <v>136</v>
      </c>
      <c r="C82" s="3" t="s">
        <v>137</v>
      </c>
      <c r="D82" s="17">
        <v>29188.0</v>
      </c>
    </row>
    <row r="83">
      <c r="A83" s="16" t="s">
        <v>113</v>
      </c>
      <c r="B83" s="16" t="s">
        <v>138</v>
      </c>
      <c r="C83" s="3" t="s">
        <v>139</v>
      </c>
      <c r="D83" s="17">
        <v>34798.0</v>
      </c>
    </row>
    <row r="84">
      <c r="A84" s="16" t="s">
        <v>113</v>
      </c>
      <c r="B84" s="16" t="s">
        <v>140</v>
      </c>
      <c r="C84" s="3" t="s">
        <v>141</v>
      </c>
      <c r="D84" s="17">
        <v>52496.0</v>
      </c>
    </row>
    <row r="85">
      <c r="A85" s="16" t="s">
        <v>113</v>
      </c>
      <c r="B85" s="16" t="s">
        <v>142</v>
      </c>
      <c r="C85" s="3" t="s">
        <v>143</v>
      </c>
      <c r="D85" s="17">
        <v>48880.0</v>
      </c>
    </row>
    <row r="86">
      <c r="A86" s="16" t="s">
        <v>113</v>
      </c>
      <c r="B86" s="16" t="s">
        <v>144</v>
      </c>
      <c r="C86" s="3" t="s">
        <v>145</v>
      </c>
      <c r="D86" s="17">
        <v>39014.0</v>
      </c>
    </row>
    <row r="87">
      <c r="A87" s="16" t="s">
        <v>113</v>
      </c>
      <c r="B87" s="16" t="s">
        <v>146</v>
      </c>
      <c r="C87" s="3" t="s">
        <v>147</v>
      </c>
      <c r="D87" s="17">
        <v>48865.0</v>
      </c>
    </row>
    <row r="88">
      <c r="A88" s="16" t="s">
        <v>113</v>
      </c>
      <c r="B88" s="16" t="s">
        <v>631</v>
      </c>
      <c r="C88" s="3" t="s">
        <v>149</v>
      </c>
      <c r="D88" s="17">
        <v>40693.0</v>
      </c>
    </row>
    <row r="89">
      <c r="A89" s="16" t="s">
        <v>113</v>
      </c>
      <c r="B89" s="16" t="s">
        <v>150</v>
      </c>
      <c r="C89" s="3" t="s">
        <v>151</v>
      </c>
      <c r="D89" s="17">
        <v>45754.0</v>
      </c>
    </row>
    <row r="90">
      <c r="A90" s="16" t="s">
        <v>113</v>
      </c>
      <c r="B90" s="16" t="s">
        <v>152</v>
      </c>
      <c r="C90" s="3" t="s">
        <v>153</v>
      </c>
      <c r="D90" s="17">
        <v>33342.0</v>
      </c>
    </row>
    <row r="91">
      <c r="A91" s="16" t="s">
        <v>113</v>
      </c>
      <c r="B91" s="16" t="s">
        <v>154</v>
      </c>
      <c r="C91" s="3" t="s">
        <v>155</v>
      </c>
      <c r="D91" s="17">
        <v>35089.0</v>
      </c>
    </row>
    <row r="92">
      <c r="A92" s="16" t="s">
        <v>113</v>
      </c>
      <c r="B92" s="16" t="s">
        <v>156</v>
      </c>
      <c r="C92" s="3" t="s">
        <v>157</v>
      </c>
      <c r="D92" s="17">
        <v>35460.0</v>
      </c>
    </row>
    <row r="93">
      <c r="A93" s="16" t="s">
        <v>113</v>
      </c>
      <c r="B93" s="16" t="s">
        <v>158</v>
      </c>
      <c r="C93" s="3" t="s">
        <v>159</v>
      </c>
      <c r="D93" s="17">
        <v>59889.0</v>
      </c>
    </row>
    <row r="94">
      <c r="A94" s="16" t="s">
        <v>113</v>
      </c>
      <c r="B94" s="16" t="s">
        <v>160</v>
      </c>
      <c r="C94" s="3" t="s">
        <v>161</v>
      </c>
      <c r="D94" s="17">
        <v>63840.0</v>
      </c>
    </row>
    <row r="95">
      <c r="A95" s="16" t="s">
        <v>113</v>
      </c>
      <c r="B95" s="16" t="s">
        <v>162</v>
      </c>
      <c r="C95" s="3" t="s">
        <v>163</v>
      </c>
      <c r="D95" s="17">
        <v>46955.0</v>
      </c>
    </row>
    <row r="96">
      <c r="A96" s="16" t="s">
        <v>113</v>
      </c>
      <c r="B96" s="16" t="s">
        <v>164</v>
      </c>
      <c r="C96" s="3" t="s">
        <v>165</v>
      </c>
      <c r="D96" s="17">
        <v>44503.0</v>
      </c>
    </row>
    <row r="97">
      <c r="A97" s="16" t="s">
        <v>113</v>
      </c>
      <c r="B97" s="16" t="s">
        <v>166</v>
      </c>
      <c r="C97" s="3" t="s">
        <v>167</v>
      </c>
      <c r="D97" s="17">
        <v>17578.0</v>
      </c>
    </row>
    <row r="98">
      <c r="A98" s="16"/>
      <c r="B98" s="16"/>
      <c r="D98" s="16"/>
    </row>
    <row r="99">
      <c r="A99" s="16"/>
      <c r="B99" s="16"/>
      <c r="D99" s="16"/>
    </row>
    <row r="100">
      <c r="A100" s="16"/>
      <c r="B100" s="16"/>
      <c r="D100" s="16"/>
    </row>
    <row r="101">
      <c r="A101" s="16"/>
      <c r="B101" s="16"/>
      <c r="D101" s="16"/>
    </row>
    <row r="102">
      <c r="A102" s="16"/>
      <c r="B102" s="16"/>
      <c r="D102" s="16"/>
    </row>
    <row r="103">
      <c r="A103" s="16"/>
      <c r="B103" s="16"/>
      <c r="D103" s="16"/>
    </row>
    <row r="104">
      <c r="A104" s="16"/>
      <c r="B104" s="16"/>
      <c r="D104" s="16"/>
    </row>
    <row r="105">
      <c r="A105" s="16"/>
      <c r="B105" s="16"/>
      <c r="D105" s="16"/>
    </row>
    <row r="106">
      <c r="A106" s="16"/>
      <c r="B106" s="16"/>
      <c r="D106" s="16"/>
    </row>
    <row r="107">
      <c r="A107" s="16"/>
      <c r="B107" s="16"/>
      <c r="D107" s="16"/>
    </row>
    <row r="108">
      <c r="A108" s="16"/>
      <c r="B108" s="16"/>
      <c r="D108" s="16"/>
    </row>
    <row r="109">
      <c r="A109" s="16"/>
      <c r="B109" s="16"/>
      <c r="D109" s="16"/>
    </row>
    <row r="110">
      <c r="A110" s="16"/>
      <c r="B110" s="16"/>
      <c r="D110" s="16"/>
    </row>
    <row r="111">
      <c r="A111" s="16"/>
      <c r="B111" s="16"/>
      <c r="D111" s="16"/>
    </row>
    <row r="112">
      <c r="A112" s="16"/>
      <c r="B112" s="16"/>
      <c r="D112" s="16"/>
    </row>
    <row r="113">
      <c r="A113" s="16"/>
      <c r="B113" s="16"/>
      <c r="D113" s="16"/>
    </row>
    <row r="114">
      <c r="A114" s="16"/>
      <c r="B114" s="16"/>
      <c r="D114" s="16"/>
    </row>
    <row r="115">
      <c r="A115" s="16"/>
      <c r="B115" s="16"/>
      <c r="D115" s="16"/>
    </row>
    <row r="116">
      <c r="A116" s="16"/>
      <c r="B116" s="16"/>
      <c r="D116" s="16"/>
    </row>
    <row r="117">
      <c r="A117" s="16"/>
      <c r="B117" s="16"/>
      <c r="D117" s="16"/>
    </row>
    <row r="118">
      <c r="A118" s="16"/>
      <c r="B118" s="16"/>
      <c r="D118" s="16"/>
    </row>
    <row r="119">
      <c r="A119" s="16"/>
      <c r="B119" s="16"/>
      <c r="D119" s="16"/>
    </row>
    <row r="120">
      <c r="A120" s="16"/>
      <c r="B120" s="16"/>
      <c r="D120" s="16"/>
    </row>
    <row r="121">
      <c r="A121" s="16"/>
      <c r="B121" s="16"/>
      <c r="D121" s="16"/>
    </row>
    <row r="122">
      <c r="A122" s="16"/>
      <c r="B122" s="16"/>
      <c r="D122" s="16"/>
    </row>
    <row r="123">
      <c r="A123" s="16"/>
      <c r="B123" s="16"/>
      <c r="D123" s="16"/>
    </row>
    <row r="124">
      <c r="A124" s="16"/>
      <c r="B124" s="16"/>
      <c r="D124" s="16"/>
    </row>
    <row r="125">
      <c r="A125" s="16"/>
      <c r="B125" s="16"/>
      <c r="D125" s="16"/>
    </row>
    <row r="126">
      <c r="A126" s="16"/>
      <c r="B126" s="16"/>
      <c r="D126" s="16"/>
    </row>
    <row r="127">
      <c r="A127" s="16"/>
      <c r="B127" s="16"/>
      <c r="D127" s="16"/>
    </row>
    <row r="128">
      <c r="A128" s="16"/>
      <c r="B128" s="16"/>
      <c r="D128" s="16"/>
    </row>
    <row r="129">
      <c r="A129" s="16"/>
      <c r="B129" s="16"/>
      <c r="D129" s="16"/>
    </row>
    <row r="130">
      <c r="A130" s="16"/>
      <c r="B130" s="16"/>
      <c r="D130" s="16"/>
    </row>
    <row r="131">
      <c r="A131" s="16"/>
      <c r="B131" s="16"/>
      <c r="D131" s="16"/>
    </row>
    <row r="132">
      <c r="A132" s="16"/>
      <c r="B132" s="16"/>
      <c r="D132" s="16"/>
    </row>
    <row r="133">
      <c r="A133" s="16"/>
      <c r="B133" s="16"/>
      <c r="D133" s="16"/>
    </row>
    <row r="134">
      <c r="A134" s="16"/>
      <c r="B134" s="16"/>
      <c r="D134" s="16"/>
    </row>
    <row r="135">
      <c r="A135" s="16"/>
      <c r="B135" s="16"/>
      <c r="D135" s="16"/>
    </row>
    <row r="136">
      <c r="A136" s="16"/>
      <c r="B136" s="16"/>
      <c r="D136" s="16"/>
    </row>
    <row r="137">
      <c r="A137" s="16"/>
      <c r="B137" s="16"/>
      <c r="D137" s="16"/>
    </row>
    <row r="138">
      <c r="A138" s="16"/>
      <c r="B138" s="16"/>
      <c r="D138" s="16"/>
    </row>
    <row r="139">
      <c r="A139" s="16"/>
      <c r="B139" s="16"/>
      <c r="D139" s="16"/>
    </row>
    <row r="140">
      <c r="A140" s="16"/>
      <c r="B140" s="16"/>
      <c r="D140" s="16"/>
    </row>
    <row r="141">
      <c r="A141" s="16"/>
      <c r="B141" s="16"/>
      <c r="D141" s="16"/>
    </row>
    <row r="142">
      <c r="A142" s="16"/>
      <c r="B142" s="16"/>
      <c r="D142" s="16"/>
    </row>
    <row r="143">
      <c r="A143" s="16"/>
      <c r="B143" s="16"/>
      <c r="D143" s="16"/>
    </row>
    <row r="144">
      <c r="A144" s="16"/>
      <c r="B144" s="16"/>
      <c r="D144" s="16"/>
    </row>
    <row r="145">
      <c r="A145" s="16"/>
      <c r="B145" s="16"/>
      <c r="D145" s="16"/>
    </row>
    <row r="146">
      <c r="A146" s="16"/>
      <c r="B146" s="16"/>
      <c r="D146" s="16"/>
    </row>
    <row r="147">
      <c r="A147" s="16"/>
      <c r="B147" s="16"/>
      <c r="D147" s="16"/>
    </row>
    <row r="148">
      <c r="A148" s="16"/>
      <c r="B148" s="16"/>
      <c r="D148" s="16"/>
    </row>
    <row r="149">
      <c r="A149" s="16"/>
      <c r="B149" s="16"/>
      <c r="D149" s="16"/>
    </row>
    <row r="150">
      <c r="A150" s="16"/>
      <c r="B150" s="16"/>
      <c r="D150" s="16"/>
    </row>
    <row r="151">
      <c r="A151" s="16"/>
      <c r="B151" s="16"/>
      <c r="D151" s="16"/>
    </row>
    <row r="152">
      <c r="A152" s="16"/>
      <c r="B152" s="16"/>
      <c r="D152" s="16"/>
    </row>
    <row r="153">
      <c r="A153" s="16"/>
      <c r="B153" s="16"/>
      <c r="D153" s="16"/>
    </row>
    <row r="154">
      <c r="A154" s="16"/>
      <c r="B154" s="16"/>
      <c r="D154" s="16"/>
    </row>
    <row r="155">
      <c r="A155" s="16"/>
      <c r="B155" s="16"/>
      <c r="D155" s="16"/>
    </row>
    <row r="156">
      <c r="A156" s="16"/>
      <c r="B156" s="16"/>
      <c r="D156" s="16"/>
    </row>
    <row r="157">
      <c r="A157" s="16"/>
      <c r="B157" s="16"/>
      <c r="D157" s="16"/>
    </row>
    <row r="158">
      <c r="A158" s="16"/>
      <c r="B158" s="16"/>
      <c r="D158" s="16"/>
    </row>
    <row r="159">
      <c r="A159" s="16"/>
      <c r="B159" s="16"/>
      <c r="D159" s="16"/>
    </row>
    <row r="160">
      <c r="A160" s="16"/>
      <c r="B160" s="16"/>
      <c r="D160" s="16"/>
    </row>
    <row r="161">
      <c r="A161" s="16"/>
      <c r="B161" s="16"/>
      <c r="D161" s="16"/>
    </row>
    <row r="162">
      <c r="A162" s="16"/>
      <c r="B162" s="16"/>
      <c r="D162" s="16"/>
    </row>
    <row r="163">
      <c r="A163" s="16"/>
      <c r="B163" s="16"/>
      <c r="D163" s="16"/>
    </row>
    <row r="164">
      <c r="A164" s="16"/>
      <c r="B164" s="16"/>
      <c r="D164" s="16"/>
    </row>
    <row r="165">
      <c r="A165" s="16"/>
      <c r="B165" s="16"/>
      <c r="D165" s="16"/>
    </row>
    <row r="166">
      <c r="A166" s="16"/>
      <c r="B166" s="16"/>
      <c r="D166" s="16"/>
    </row>
    <row r="167">
      <c r="A167" s="16"/>
      <c r="B167" s="16"/>
      <c r="D167" s="16"/>
    </row>
    <row r="168">
      <c r="A168" s="16"/>
      <c r="B168" s="16"/>
      <c r="D168" s="16"/>
    </row>
    <row r="169">
      <c r="A169" s="16"/>
      <c r="B169" s="16"/>
      <c r="D169" s="16"/>
    </row>
    <row r="170">
      <c r="A170" s="16"/>
      <c r="B170" s="16"/>
      <c r="D170" s="16"/>
    </row>
    <row r="171">
      <c r="A171" s="16"/>
      <c r="B171" s="16"/>
      <c r="D171" s="16"/>
    </row>
    <row r="172">
      <c r="A172" s="16"/>
      <c r="B172" s="16"/>
      <c r="D172" s="16"/>
    </row>
    <row r="173">
      <c r="A173" s="16"/>
      <c r="B173" s="16"/>
      <c r="D173" s="16"/>
    </row>
    <row r="174">
      <c r="A174" s="16"/>
      <c r="B174" s="16"/>
      <c r="D174" s="16"/>
    </row>
    <row r="175">
      <c r="A175" s="16"/>
      <c r="B175" s="16"/>
      <c r="D175" s="16"/>
    </row>
    <row r="176">
      <c r="A176" s="16"/>
      <c r="B176" s="16"/>
      <c r="D176" s="16"/>
    </row>
    <row r="177">
      <c r="A177" s="16"/>
      <c r="B177" s="16"/>
      <c r="D177" s="16"/>
    </row>
    <row r="178">
      <c r="A178" s="16"/>
      <c r="B178" s="16"/>
      <c r="D178" s="16"/>
    </row>
    <row r="179">
      <c r="A179" s="16"/>
      <c r="B179" s="16"/>
      <c r="D179" s="16"/>
    </row>
    <row r="180">
      <c r="A180" s="16"/>
      <c r="B180" s="16"/>
      <c r="D180" s="16"/>
    </row>
    <row r="181">
      <c r="A181" s="16"/>
      <c r="B181" s="16"/>
      <c r="D181" s="16"/>
    </row>
    <row r="182">
      <c r="A182" s="16"/>
      <c r="B182" s="16"/>
      <c r="D182" s="16"/>
    </row>
    <row r="183">
      <c r="A183" s="16"/>
      <c r="B183" s="16"/>
      <c r="D183" s="16"/>
    </row>
    <row r="184">
      <c r="A184" s="16"/>
      <c r="B184" s="16"/>
      <c r="D184" s="16"/>
    </row>
    <row r="185">
      <c r="A185" s="16"/>
      <c r="B185" s="16"/>
      <c r="D185" s="16"/>
    </row>
    <row r="186">
      <c r="A186" s="16"/>
      <c r="B186" s="16"/>
      <c r="D186" s="16"/>
    </row>
    <row r="187">
      <c r="A187" s="16"/>
      <c r="B187" s="16"/>
      <c r="D187" s="16"/>
    </row>
    <row r="188">
      <c r="A188" s="16"/>
      <c r="B188" s="16"/>
      <c r="D188" s="16"/>
    </row>
    <row r="189">
      <c r="A189" s="16"/>
      <c r="B189" s="16"/>
      <c r="D189" s="16"/>
    </row>
    <row r="190">
      <c r="A190" s="16"/>
      <c r="B190" s="16"/>
      <c r="D190" s="16"/>
    </row>
    <row r="191">
      <c r="A191" s="16"/>
      <c r="B191" s="16"/>
      <c r="D191" s="16"/>
    </row>
    <row r="192">
      <c r="A192" s="16"/>
      <c r="B192" s="16"/>
      <c r="D192" s="16"/>
    </row>
    <row r="193">
      <c r="A193" s="16"/>
      <c r="B193" s="16"/>
      <c r="D193" s="16"/>
    </row>
    <row r="194">
      <c r="A194" s="16"/>
      <c r="B194" s="16"/>
      <c r="D194" s="16"/>
    </row>
    <row r="195">
      <c r="A195" s="16"/>
      <c r="B195" s="16"/>
      <c r="D195" s="16"/>
    </row>
    <row r="196">
      <c r="A196" s="16"/>
      <c r="B196" s="16"/>
      <c r="D196" s="16"/>
    </row>
    <row r="197">
      <c r="A197" s="16"/>
      <c r="B197" s="16"/>
      <c r="D197" s="16"/>
    </row>
    <row r="198">
      <c r="A198" s="16"/>
      <c r="B198" s="16"/>
      <c r="D198" s="16"/>
    </row>
    <row r="199">
      <c r="A199" s="16"/>
      <c r="B199" s="16"/>
      <c r="D199" s="16"/>
    </row>
    <row r="200">
      <c r="A200" s="16"/>
      <c r="B200" s="16"/>
      <c r="D200" s="16"/>
    </row>
    <row r="201">
      <c r="A201" s="16"/>
      <c r="B201" s="16"/>
      <c r="D201" s="16"/>
    </row>
    <row r="202">
      <c r="A202" s="16"/>
      <c r="B202" s="16"/>
      <c r="D202" s="16"/>
    </row>
    <row r="203">
      <c r="A203" s="16"/>
      <c r="B203" s="16"/>
      <c r="D203" s="16"/>
    </row>
    <row r="204">
      <c r="A204" s="16"/>
      <c r="B204" s="16"/>
      <c r="D204" s="16"/>
    </row>
    <row r="205">
      <c r="A205" s="16"/>
      <c r="B205" s="16"/>
      <c r="D205" s="16"/>
    </row>
    <row r="206">
      <c r="A206" s="16"/>
      <c r="B206" s="16"/>
      <c r="D206" s="16"/>
    </row>
    <row r="207">
      <c r="A207" s="16"/>
      <c r="B207" s="16"/>
      <c r="D207" s="16"/>
    </row>
    <row r="208">
      <c r="A208" s="16"/>
      <c r="B208" s="16"/>
      <c r="D208" s="16"/>
    </row>
    <row r="209">
      <c r="A209" s="16"/>
      <c r="B209" s="16"/>
      <c r="D209" s="16"/>
    </row>
    <row r="210">
      <c r="A210" s="16"/>
      <c r="B210" s="16"/>
      <c r="D210" s="16"/>
    </row>
    <row r="211">
      <c r="A211" s="16"/>
      <c r="B211" s="16"/>
      <c r="D211" s="16"/>
    </row>
    <row r="212">
      <c r="A212" s="16"/>
      <c r="B212" s="16"/>
      <c r="D212" s="16"/>
    </row>
    <row r="213">
      <c r="A213" s="16"/>
      <c r="B213" s="16"/>
      <c r="D213" s="16"/>
    </row>
    <row r="214">
      <c r="A214" s="16"/>
      <c r="B214" s="16"/>
      <c r="D214" s="16"/>
    </row>
    <row r="215">
      <c r="A215" s="16"/>
      <c r="B215" s="16"/>
      <c r="D215" s="16"/>
    </row>
    <row r="216">
      <c r="A216" s="16"/>
      <c r="B216" s="16"/>
      <c r="D216" s="16"/>
    </row>
    <row r="217">
      <c r="A217" s="16"/>
      <c r="B217" s="16"/>
      <c r="D217" s="16"/>
    </row>
    <row r="218">
      <c r="A218" s="16"/>
      <c r="B218" s="16"/>
      <c r="D218" s="16"/>
    </row>
    <row r="219">
      <c r="A219" s="16"/>
      <c r="B219" s="16"/>
      <c r="D219" s="16"/>
    </row>
    <row r="220">
      <c r="A220" s="16"/>
      <c r="B220" s="16"/>
      <c r="D220" s="16"/>
    </row>
    <row r="221">
      <c r="A221" s="16"/>
      <c r="B221" s="16"/>
      <c r="D221" s="16"/>
    </row>
    <row r="222">
      <c r="A222" s="16"/>
      <c r="B222" s="16"/>
      <c r="D222" s="16"/>
    </row>
    <row r="223">
      <c r="A223" s="16"/>
      <c r="B223" s="16"/>
      <c r="D223" s="16"/>
    </row>
    <row r="224">
      <c r="A224" s="16"/>
      <c r="B224" s="16"/>
      <c r="D224" s="16"/>
    </row>
    <row r="225">
      <c r="A225" s="16"/>
      <c r="B225" s="16"/>
      <c r="D225" s="16"/>
    </row>
    <row r="226">
      <c r="A226" s="16"/>
      <c r="B226" s="16"/>
      <c r="D226" s="16"/>
    </row>
    <row r="227">
      <c r="A227" s="16"/>
      <c r="B227" s="16"/>
      <c r="D227" s="16"/>
    </row>
    <row r="228">
      <c r="A228" s="16"/>
      <c r="B228" s="16"/>
      <c r="D228" s="16"/>
    </row>
    <row r="229">
      <c r="A229" s="16"/>
      <c r="B229" s="16"/>
      <c r="D229" s="16"/>
    </row>
    <row r="230">
      <c r="A230" s="16"/>
      <c r="B230" s="16"/>
      <c r="D230" s="16"/>
    </row>
    <row r="231">
      <c r="A231" s="16"/>
      <c r="B231" s="16"/>
      <c r="D231" s="16"/>
    </row>
    <row r="232">
      <c r="A232" s="16"/>
      <c r="B232" s="16"/>
      <c r="D232" s="16"/>
    </row>
    <row r="233">
      <c r="A233" s="16"/>
      <c r="B233" s="16"/>
      <c r="D233" s="16"/>
    </row>
    <row r="234">
      <c r="A234" s="16"/>
      <c r="B234" s="16"/>
      <c r="D234" s="16"/>
    </row>
    <row r="235">
      <c r="A235" s="16"/>
      <c r="B235" s="16"/>
      <c r="D235" s="16"/>
    </row>
    <row r="236">
      <c r="A236" s="16"/>
      <c r="B236" s="16"/>
      <c r="D236" s="16"/>
    </row>
    <row r="237">
      <c r="A237" s="16"/>
      <c r="B237" s="16"/>
      <c r="D237" s="16"/>
    </row>
    <row r="238">
      <c r="A238" s="16"/>
      <c r="B238" s="16"/>
      <c r="D238" s="16"/>
    </row>
    <row r="239">
      <c r="A239" s="16"/>
      <c r="B239" s="16"/>
      <c r="D239" s="16"/>
    </row>
    <row r="240">
      <c r="A240" s="16"/>
      <c r="B240" s="16"/>
      <c r="D240" s="16"/>
    </row>
    <row r="241">
      <c r="A241" s="16"/>
      <c r="B241" s="16"/>
      <c r="D241" s="16"/>
    </row>
    <row r="242">
      <c r="A242" s="16"/>
      <c r="B242" s="16"/>
      <c r="D242" s="16"/>
    </row>
    <row r="243">
      <c r="A243" s="16"/>
      <c r="B243" s="16"/>
      <c r="D243" s="16"/>
    </row>
    <row r="244">
      <c r="A244" s="16"/>
      <c r="B244" s="16"/>
      <c r="D244" s="16"/>
    </row>
    <row r="245">
      <c r="A245" s="16"/>
      <c r="B245" s="16"/>
      <c r="D245" s="16"/>
    </row>
    <row r="246">
      <c r="A246" s="16"/>
      <c r="B246" s="16"/>
      <c r="D246" s="16"/>
    </row>
    <row r="247">
      <c r="A247" s="16"/>
      <c r="B247" s="16"/>
      <c r="D247" s="16"/>
    </row>
    <row r="248">
      <c r="A248" s="16"/>
      <c r="B248" s="16"/>
      <c r="D248" s="16"/>
    </row>
    <row r="249">
      <c r="A249" s="16"/>
      <c r="B249" s="16"/>
      <c r="D249" s="16"/>
    </row>
    <row r="250">
      <c r="A250" s="16"/>
      <c r="B250" s="16"/>
      <c r="D250" s="16"/>
    </row>
    <row r="251">
      <c r="A251" s="16"/>
      <c r="B251" s="16"/>
      <c r="D251" s="16"/>
    </row>
    <row r="252">
      <c r="A252" s="16"/>
      <c r="B252" s="16"/>
      <c r="D252" s="16"/>
    </row>
    <row r="253">
      <c r="A253" s="16"/>
      <c r="B253" s="16"/>
      <c r="D253" s="16"/>
    </row>
    <row r="254">
      <c r="A254" s="16"/>
      <c r="B254" s="16"/>
      <c r="D254" s="16"/>
    </row>
    <row r="255">
      <c r="A255" s="16"/>
      <c r="B255" s="16"/>
      <c r="D255" s="16"/>
    </row>
    <row r="256">
      <c r="A256" s="16"/>
      <c r="B256" s="16"/>
      <c r="D256" s="16"/>
    </row>
    <row r="257">
      <c r="A257" s="16"/>
      <c r="B257" s="16"/>
      <c r="D257" s="16"/>
    </row>
    <row r="258">
      <c r="A258" s="16"/>
      <c r="B258" s="16"/>
      <c r="D258" s="16"/>
    </row>
    <row r="259">
      <c r="A259" s="16"/>
      <c r="B259" s="16"/>
      <c r="D259" s="16"/>
    </row>
    <row r="260">
      <c r="A260" s="16"/>
      <c r="B260" s="16"/>
      <c r="D260" s="16"/>
    </row>
    <row r="261">
      <c r="A261" s="16"/>
      <c r="B261" s="16"/>
      <c r="D261" s="16"/>
    </row>
    <row r="262">
      <c r="A262" s="16"/>
      <c r="B262" s="16"/>
      <c r="D262" s="16"/>
    </row>
    <row r="263">
      <c r="A263" s="16"/>
      <c r="B263" s="16"/>
      <c r="D263" s="16"/>
    </row>
    <row r="264">
      <c r="A264" s="16"/>
      <c r="B264" s="16"/>
      <c r="D264" s="16"/>
    </row>
    <row r="265">
      <c r="A265" s="16"/>
      <c r="B265" s="16"/>
      <c r="D265" s="16"/>
    </row>
    <row r="266">
      <c r="A266" s="16"/>
      <c r="B266" s="16"/>
      <c r="D266" s="16"/>
    </row>
    <row r="267">
      <c r="A267" s="16"/>
      <c r="B267" s="16"/>
      <c r="D267" s="16"/>
    </row>
    <row r="268">
      <c r="A268" s="16"/>
      <c r="B268" s="16"/>
      <c r="D268" s="16"/>
    </row>
    <row r="269">
      <c r="A269" s="16"/>
      <c r="B269" s="16"/>
      <c r="D269" s="16"/>
    </row>
    <row r="270">
      <c r="A270" s="16"/>
      <c r="B270" s="16"/>
      <c r="D270" s="16"/>
    </row>
    <row r="271">
      <c r="A271" s="16"/>
      <c r="B271" s="16"/>
      <c r="D271" s="16"/>
    </row>
    <row r="272">
      <c r="A272" s="16"/>
      <c r="B272" s="16"/>
      <c r="D272" s="16"/>
    </row>
    <row r="273">
      <c r="A273" s="16"/>
      <c r="B273" s="16"/>
      <c r="D273" s="16"/>
    </row>
    <row r="274">
      <c r="A274" s="16"/>
      <c r="B274" s="16"/>
      <c r="D274" s="16"/>
    </row>
    <row r="275">
      <c r="A275" s="16"/>
      <c r="B275" s="16"/>
      <c r="D275" s="16"/>
    </row>
    <row r="276">
      <c r="A276" s="16"/>
      <c r="B276" s="16"/>
      <c r="D276" s="16"/>
    </row>
    <row r="277">
      <c r="A277" s="16"/>
      <c r="B277" s="16"/>
      <c r="D277" s="16"/>
    </row>
    <row r="278">
      <c r="A278" s="16"/>
      <c r="B278" s="16"/>
      <c r="D278" s="16"/>
    </row>
    <row r="279">
      <c r="A279" s="16"/>
      <c r="B279" s="16"/>
      <c r="D279" s="16"/>
    </row>
    <row r="280">
      <c r="A280" s="16"/>
      <c r="B280" s="16"/>
      <c r="D280" s="16"/>
    </row>
    <row r="281">
      <c r="A281" s="16"/>
      <c r="B281" s="16"/>
      <c r="D281" s="16"/>
    </row>
    <row r="282">
      <c r="A282" s="16"/>
      <c r="B282" s="16"/>
      <c r="D282" s="16"/>
    </row>
    <row r="283">
      <c r="A283" s="16"/>
      <c r="B283" s="16"/>
      <c r="D283" s="16"/>
    </row>
    <row r="284">
      <c r="A284" s="16"/>
      <c r="B284" s="16"/>
      <c r="D284" s="16"/>
    </row>
    <row r="285">
      <c r="A285" s="16"/>
      <c r="B285" s="16"/>
      <c r="D285" s="16"/>
    </row>
    <row r="286">
      <c r="A286" s="16"/>
      <c r="B286" s="16"/>
      <c r="D286" s="16"/>
    </row>
    <row r="287">
      <c r="A287" s="16"/>
      <c r="B287" s="16"/>
      <c r="D287" s="16"/>
    </row>
    <row r="288">
      <c r="A288" s="16"/>
      <c r="B288" s="16"/>
      <c r="D288" s="16"/>
    </row>
    <row r="289">
      <c r="A289" s="16"/>
      <c r="B289" s="16"/>
      <c r="D289" s="16"/>
    </row>
    <row r="290">
      <c r="A290" s="16"/>
      <c r="B290" s="16"/>
      <c r="D290" s="16"/>
    </row>
    <row r="291">
      <c r="A291" s="16"/>
      <c r="B291" s="16"/>
      <c r="D291" s="16"/>
    </row>
    <row r="292">
      <c r="A292" s="16"/>
      <c r="B292" s="16"/>
      <c r="D292" s="16"/>
    </row>
    <row r="293">
      <c r="A293" s="16"/>
      <c r="B293" s="16"/>
      <c r="D293" s="16"/>
    </row>
    <row r="294">
      <c r="A294" s="16"/>
      <c r="B294" s="16"/>
      <c r="D294" s="16"/>
    </row>
    <row r="295">
      <c r="A295" s="16"/>
      <c r="B295" s="16"/>
      <c r="D295" s="16"/>
    </row>
    <row r="296">
      <c r="A296" s="16"/>
      <c r="B296" s="16"/>
      <c r="D296" s="16"/>
    </row>
    <row r="297">
      <c r="A297" s="16"/>
      <c r="B297" s="16"/>
      <c r="D297" s="16"/>
    </row>
    <row r="298">
      <c r="A298" s="16"/>
      <c r="B298" s="16"/>
      <c r="D298" s="16"/>
    </row>
    <row r="299">
      <c r="A299" s="16"/>
      <c r="B299" s="16"/>
      <c r="D299" s="16"/>
    </row>
    <row r="300">
      <c r="A300" s="16"/>
      <c r="B300" s="16"/>
      <c r="D300" s="16"/>
    </row>
    <row r="301">
      <c r="A301" s="16"/>
      <c r="B301" s="16"/>
      <c r="D301" s="16"/>
    </row>
    <row r="302">
      <c r="A302" s="16"/>
      <c r="B302" s="16"/>
      <c r="D302" s="16"/>
    </row>
    <row r="303">
      <c r="A303" s="16"/>
      <c r="B303" s="16"/>
      <c r="D303" s="16"/>
    </row>
    <row r="304">
      <c r="A304" s="16"/>
      <c r="B304" s="16"/>
      <c r="D304" s="16"/>
    </row>
    <row r="305">
      <c r="A305" s="16"/>
      <c r="B305" s="16"/>
      <c r="D305" s="16"/>
    </row>
    <row r="306">
      <c r="A306" s="16"/>
      <c r="B306" s="16"/>
      <c r="D306" s="16"/>
    </row>
    <row r="307">
      <c r="A307" s="16"/>
      <c r="B307" s="16"/>
      <c r="D307" s="16"/>
    </row>
    <row r="308">
      <c r="A308" s="16"/>
      <c r="B308" s="16"/>
      <c r="D308" s="16"/>
    </row>
    <row r="309">
      <c r="A309" s="16"/>
      <c r="B309" s="16"/>
      <c r="D309" s="16"/>
    </row>
    <row r="310">
      <c r="A310" s="16"/>
      <c r="B310" s="16"/>
      <c r="D310" s="16"/>
    </row>
    <row r="311">
      <c r="A311" s="16"/>
      <c r="B311" s="16"/>
      <c r="D311" s="16"/>
    </row>
    <row r="312">
      <c r="A312" s="16"/>
      <c r="B312" s="16"/>
      <c r="D312" s="16"/>
    </row>
    <row r="313">
      <c r="A313" s="16"/>
      <c r="B313" s="16"/>
      <c r="D313" s="16"/>
    </row>
    <row r="314">
      <c r="A314" s="16"/>
      <c r="B314" s="16"/>
      <c r="D314" s="16"/>
    </row>
    <row r="315">
      <c r="A315" s="16"/>
      <c r="B315" s="16"/>
      <c r="D315" s="16"/>
    </row>
    <row r="316">
      <c r="A316" s="16"/>
      <c r="B316" s="16"/>
      <c r="D316" s="16"/>
    </row>
    <row r="317">
      <c r="A317" s="16"/>
      <c r="B317" s="16"/>
      <c r="D317" s="16"/>
    </row>
    <row r="318">
      <c r="A318" s="16"/>
      <c r="B318" s="16"/>
      <c r="D318" s="16"/>
    </row>
    <row r="319">
      <c r="A319" s="16"/>
      <c r="B319" s="16"/>
      <c r="D319" s="16"/>
    </row>
    <row r="320">
      <c r="A320" s="16"/>
      <c r="B320" s="16"/>
      <c r="D320" s="16"/>
    </row>
    <row r="321">
      <c r="A321" s="16"/>
      <c r="B321" s="16"/>
      <c r="D321" s="16"/>
    </row>
    <row r="322">
      <c r="A322" s="16"/>
      <c r="B322" s="16"/>
      <c r="D322" s="16"/>
    </row>
    <row r="323">
      <c r="A323" s="16"/>
      <c r="B323" s="16"/>
      <c r="D323" s="16"/>
    </row>
    <row r="324">
      <c r="A324" s="16"/>
      <c r="B324" s="16"/>
      <c r="D324" s="16"/>
    </row>
    <row r="325">
      <c r="A325" s="16"/>
      <c r="B325" s="16"/>
      <c r="D325" s="16"/>
    </row>
    <row r="326">
      <c r="A326" s="16"/>
      <c r="B326" s="16"/>
      <c r="D326" s="16"/>
    </row>
    <row r="327">
      <c r="A327" s="16"/>
      <c r="B327" s="16"/>
      <c r="D327" s="16"/>
    </row>
    <row r="328">
      <c r="A328" s="16"/>
      <c r="B328" s="16"/>
      <c r="D328" s="16"/>
    </row>
    <row r="329">
      <c r="A329" s="16"/>
      <c r="B329" s="16"/>
      <c r="D329" s="16"/>
    </row>
    <row r="330">
      <c r="A330" s="16"/>
      <c r="B330" s="16"/>
      <c r="D330" s="16"/>
    </row>
    <row r="331">
      <c r="A331" s="16"/>
      <c r="B331" s="16"/>
      <c r="D331" s="16"/>
    </row>
    <row r="332">
      <c r="A332" s="16"/>
      <c r="B332" s="16"/>
      <c r="D332" s="16"/>
    </row>
    <row r="333">
      <c r="A333" s="16"/>
      <c r="B333" s="16"/>
      <c r="D333" s="16"/>
    </row>
    <row r="334">
      <c r="A334" s="16"/>
      <c r="B334" s="16"/>
      <c r="D334" s="16"/>
    </row>
    <row r="335">
      <c r="A335" s="16"/>
      <c r="B335" s="16"/>
      <c r="D335" s="16"/>
    </row>
    <row r="336">
      <c r="A336" s="16"/>
      <c r="B336" s="16"/>
      <c r="D336" s="16"/>
    </row>
    <row r="337">
      <c r="A337" s="16"/>
      <c r="B337" s="16"/>
      <c r="D337" s="16"/>
    </row>
    <row r="338">
      <c r="A338" s="16"/>
      <c r="B338" s="16"/>
      <c r="D338" s="16"/>
    </row>
    <row r="339">
      <c r="A339" s="16"/>
      <c r="B339" s="16"/>
      <c r="D339" s="16"/>
    </row>
    <row r="340">
      <c r="A340" s="16"/>
      <c r="B340" s="16"/>
      <c r="D340" s="16"/>
    </row>
    <row r="341">
      <c r="A341" s="16"/>
      <c r="B341" s="16"/>
      <c r="D341" s="16"/>
    </row>
    <row r="342">
      <c r="A342" s="16"/>
      <c r="B342" s="16"/>
      <c r="D342" s="16"/>
    </row>
    <row r="343">
      <c r="A343" s="16"/>
      <c r="B343" s="16"/>
      <c r="D343" s="16"/>
    </row>
    <row r="344">
      <c r="A344" s="16"/>
      <c r="B344" s="16"/>
      <c r="D344" s="16"/>
    </row>
    <row r="345">
      <c r="A345" s="16"/>
      <c r="B345" s="16"/>
      <c r="D345" s="16"/>
    </row>
    <row r="346">
      <c r="A346" s="16"/>
      <c r="B346" s="16"/>
      <c r="D346" s="16"/>
    </row>
    <row r="347">
      <c r="A347" s="16"/>
      <c r="B347" s="16"/>
      <c r="D347" s="16"/>
    </row>
    <row r="348">
      <c r="A348" s="16"/>
      <c r="B348" s="16"/>
      <c r="D348" s="16"/>
    </row>
    <row r="349">
      <c r="A349" s="16"/>
      <c r="B349" s="16"/>
      <c r="D349" s="16"/>
    </row>
    <row r="350">
      <c r="A350" s="16"/>
      <c r="B350" s="16"/>
      <c r="D350" s="16"/>
    </row>
    <row r="351">
      <c r="A351" s="16"/>
      <c r="B351" s="16"/>
      <c r="D351" s="16"/>
    </row>
    <row r="352">
      <c r="A352" s="16"/>
      <c r="B352" s="16"/>
      <c r="D352" s="16"/>
    </row>
    <row r="353">
      <c r="A353" s="16"/>
      <c r="B353" s="16"/>
      <c r="D353" s="16"/>
    </row>
    <row r="354">
      <c r="A354" s="16"/>
      <c r="B354" s="16"/>
      <c r="D354" s="16"/>
    </row>
    <row r="355">
      <c r="A355" s="16"/>
      <c r="B355" s="16"/>
      <c r="D355" s="16"/>
    </row>
    <row r="356">
      <c r="A356" s="16"/>
      <c r="B356" s="16"/>
      <c r="D356" s="16"/>
    </row>
    <row r="357">
      <c r="A357" s="16"/>
      <c r="B357" s="16"/>
      <c r="D357" s="16"/>
    </row>
    <row r="358">
      <c r="A358" s="16"/>
      <c r="B358" s="16"/>
      <c r="D358" s="16"/>
    </row>
    <row r="359">
      <c r="A359" s="16"/>
      <c r="B359" s="16"/>
      <c r="D359" s="16"/>
    </row>
    <row r="360">
      <c r="A360" s="16"/>
      <c r="B360" s="16"/>
      <c r="D360" s="16"/>
    </row>
    <row r="361">
      <c r="A361" s="16"/>
      <c r="B361" s="16"/>
      <c r="D361" s="16"/>
    </row>
    <row r="362">
      <c r="A362" s="16"/>
      <c r="B362" s="16"/>
      <c r="D362" s="16"/>
    </row>
    <row r="363">
      <c r="A363" s="16"/>
      <c r="B363" s="16"/>
      <c r="D363" s="16"/>
    </row>
    <row r="364">
      <c r="A364" s="16"/>
      <c r="B364" s="16"/>
      <c r="D364" s="16"/>
    </row>
    <row r="365">
      <c r="A365" s="16"/>
      <c r="B365" s="16"/>
      <c r="D365" s="16"/>
    </row>
    <row r="366">
      <c r="A366" s="16"/>
      <c r="B366" s="16"/>
      <c r="D366" s="16"/>
    </row>
    <row r="367">
      <c r="A367" s="16"/>
      <c r="B367" s="16"/>
      <c r="D367" s="16"/>
    </row>
    <row r="368">
      <c r="A368" s="16"/>
      <c r="B368" s="16"/>
      <c r="D368" s="16"/>
    </row>
    <row r="369">
      <c r="A369" s="16"/>
      <c r="B369" s="16"/>
      <c r="D369" s="16"/>
    </row>
    <row r="370">
      <c r="A370" s="16"/>
      <c r="B370" s="16"/>
      <c r="D370" s="16"/>
    </row>
    <row r="371">
      <c r="A371" s="16"/>
      <c r="B371" s="16"/>
      <c r="D371" s="16"/>
    </row>
    <row r="372">
      <c r="A372" s="16"/>
      <c r="B372" s="16"/>
      <c r="D372" s="16"/>
    </row>
    <row r="373">
      <c r="A373" s="16"/>
      <c r="B373" s="16"/>
      <c r="D373" s="16"/>
    </row>
    <row r="374">
      <c r="A374" s="16"/>
      <c r="B374" s="16"/>
      <c r="D374" s="16"/>
    </row>
    <row r="375">
      <c r="A375" s="16"/>
      <c r="B375" s="16"/>
      <c r="D375" s="16"/>
    </row>
    <row r="376">
      <c r="A376" s="16"/>
      <c r="B376" s="16"/>
      <c r="D376" s="16"/>
    </row>
    <row r="377">
      <c r="A377" s="16"/>
      <c r="B377" s="16"/>
      <c r="D377" s="16"/>
    </row>
    <row r="378">
      <c r="A378" s="16"/>
      <c r="B378" s="16"/>
      <c r="D378" s="16"/>
    </row>
    <row r="379">
      <c r="A379" s="16"/>
      <c r="B379" s="16"/>
      <c r="D379" s="16"/>
    </row>
    <row r="380">
      <c r="A380" s="16"/>
      <c r="B380" s="16"/>
      <c r="D380" s="16"/>
    </row>
    <row r="381">
      <c r="A381" s="16"/>
      <c r="B381" s="16"/>
      <c r="D381" s="16"/>
    </row>
    <row r="382">
      <c r="A382" s="16"/>
      <c r="B382" s="16"/>
      <c r="D382" s="16"/>
    </row>
    <row r="383">
      <c r="A383" s="16"/>
      <c r="B383" s="16"/>
      <c r="D383" s="16"/>
    </row>
    <row r="384">
      <c r="A384" s="16"/>
      <c r="B384" s="16"/>
      <c r="D384" s="16"/>
    </row>
    <row r="385">
      <c r="A385" s="16"/>
      <c r="B385" s="16"/>
      <c r="D385" s="16"/>
    </row>
    <row r="386">
      <c r="A386" s="16"/>
      <c r="B386" s="16"/>
      <c r="D386" s="16"/>
    </row>
    <row r="387">
      <c r="A387" s="16"/>
      <c r="B387" s="16"/>
      <c r="D387" s="16"/>
    </row>
    <row r="388">
      <c r="A388" s="16"/>
      <c r="B388" s="16"/>
      <c r="D388" s="16"/>
    </row>
    <row r="389">
      <c r="A389" s="16"/>
      <c r="B389" s="16"/>
      <c r="D389" s="16"/>
    </row>
    <row r="390">
      <c r="A390" s="16"/>
      <c r="B390" s="16"/>
      <c r="D390" s="16"/>
    </row>
    <row r="391">
      <c r="A391" s="16"/>
      <c r="B391" s="16"/>
      <c r="D391" s="16"/>
    </row>
    <row r="392">
      <c r="A392" s="16"/>
      <c r="B392" s="16"/>
      <c r="D392" s="16"/>
    </row>
    <row r="393">
      <c r="A393" s="16"/>
      <c r="B393" s="16"/>
      <c r="D393" s="16"/>
    </row>
    <row r="394">
      <c r="A394" s="16"/>
      <c r="B394" s="16"/>
      <c r="D394" s="16"/>
    </row>
    <row r="395">
      <c r="A395" s="16"/>
      <c r="B395" s="16"/>
      <c r="D395" s="16"/>
    </row>
    <row r="396">
      <c r="A396" s="16"/>
      <c r="B396" s="16"/>
      <c r="D396" s="16"/>
    </row>
    <row r="397">
      <c r="A397" s="16"/>
      <c r="B397" s="16"/>
      <c r="D397" s="16"/>
    </row>
    <row r="398">
      <c r="A398" s="16"/>
      <c r="B398" s="16"/>
      <c r="D398" s="16"/>
    </row>
    <row r="399">
      <c r="A399" s="16"/>
      <c r="B399" s="16"/>
      <c r="D399" s="16"/>
    </row>
    <row r="400">
      <c r="A400" s="16"/>
      <c r="B400" s="16"/>
      <c r="D400" s="16"/>
    </row>
    <row r="401">
      <c r="A401" s="16"/>
      <c r="B401" s="16"/>
      <c r="D401" s="16"/>
    </row>
    <row r="402">
      <c r="A402" s="16"/>
      <c r="B402" s="16"/>
      <c r="D402" s="16"/>
    </row>
    <row r="403">
      <c r="A403" s="16"/>
      <c r="B403" s="16"/>
      <c r="D403" s="16"/>
    </row>
    <row r="404">
      <c r="A404" s="16"/>
      <c r="B404" s="16"/>
      <c r="D404" s="16"/>
    </row>
    <row r="405">
      <c r="A405" s="16"/>
      <c r="B405" s="16"/>
      <c r="D405" s="16"/>
    </row>
    <row r="406">
      <c r="A406" s="16"/>
      <c r="B406" s="16"/>
      <c r="D406" s="16"/>
    </row>
    <row r="407">
      <c r="A407" s="16"/>
      <c r="B407" s="16"/>
      <c r="D407" s="16"/>
    </row>
    <row r="408">
      <c r="A408" s="16"/>
      <c r="B408" s="16"/>
      <c r="D408" s="16"/>
    </row>
    <row r="409">
      <c r="A409" s="16"/>
      <c r="B409" s="16"/>
      <c r="D409" s="16"/>
    </row>
    <row r="410">
      <c r="A410" s="16"/>
      <c r="B410" s="16"/>
      <c r="D410" s="16"/>
    </row>
    <row r="411">
      <c r="A411" s="16"/>
      <c r="B411" s="16"/>
      <c r="D411" s="16"/>
    </row>
    <row r="412">
      <c r="A412" s="16"/>
      <c r="B412" s="16"/>
      <c r="D412" s="16"/>
    </row>
    <row r="413">
      <c r="A413" s="16"/>
      <c r="B413" s="16"/>
      <c r="D413" s="16"/>
    </row>
    <row r="414">
      <c r="A414" s="16"/>
      <c r="B414" s="16"/>
      <c r="D414" s="16"/>
    </row>
    <row r="415">
      <c r="A415" s="16"/>
      <c r="B415" s="16"/>
      <c r="D415" s="16"/>
    </row>
    <row r="416">
      <c r="A416" s="16"/>
      <c r="B416" s="16"/>
      <c r="D416" s="16"/>
    </row>
    <row r="417">
      <c r="A417" s="16"/>
      <c r="B417" s="16"/>
      <c r="D417" s="16"/>
    </row>
    <row r="418">
      <c r="A418" s="16"/>
      <c r="B418" s="16"/>
      <c r="D418" s="16"/>
    </row>
    <row r="419">
      <c r="A419" s="16"/>
      <c r="B419" s="16"/>
      <c r="D419" s="16"/>
    </row>
    <row r="420">
      <c r="A420" s="16"/>
      <c r="B420" s="16"/>
      <c r="D420" s="16"/>
    </row>
    <row r="421">
      <c r="A421" s="16"/>
      <c r="B421" s="16"/>
      <c r="D421" s="16"/>
    </row>
    <row r="422">
      <c r="A422" s="16"/>
      <c r="B422" s="16"/>
      <c r="D422" s="16"/>
    </row>
    <row r="423">
      <c r="A423" s="16"/>
      <c r="B423" s="16"/>
      <c r="D423" s="16"/>
    </row>
    <row r="424">
      <c r="A424" s="16"/>
      <c r="B424" s="16"/>
      <c r="D424" s="16"/>
    </row>
    <row r="425">
      <c r="A425" s="16"/>
      <c r="B425" s="16"/>
      <c r="D425" s="16"/>
    </row>
    <row r="426">
      <c r="A426" s="16"/>
      <c r="B426" s="16"/>
      <c r="D426" s="16"/>
    </row>
    <row r="427">
      <c r="A427" s="16"/>
      <c r="B427" s="16"/>
      <c r="D427" s="16"/>
    </row>
    <row r="428">
      <c r="A428" s="16"/>
      <c r="B428" s="16"/>
      <c r="D428" s="16"/>
    </row>
    <row r="429">
      <c r="A429" s="16"/>
      <c r="B429" s="16"/>
      <c r="D429" s="16"/>
    </row>
    <row r="430">
      <c r="A430" s="16"/>
      <c r="B430" s="16"/>
      <c r="D430" s="16"/>
    </row>
    <row r="431">
      <c r="A431" s="16"/>
      <c r="B431" s="16"/>
      <c r="D431" s="16"/>
    </row>
    <row r="432">
      <c r="A432" s="16"/>
      <c r="B432" s="16"/>
      <c r="D432" s="16"/>
    </row>
    <row r="433">
      <c r="A433" s="16"/>
      <c r="B433" s="16"/>
      <c r="D433" s="16"/>
    </row>
    <row r="434">
      <c r="A434" s="16"/>
      <c r="B434" s="16"/>
      <c r="D434" s="16"/>
    </row>
    <row r="435">
      <c r="A435" s="16"/>
      <c r="B435" s="16"/>
      <c r="D435" s="16"/>
    </row>
    <row r="436">
      <c r="A436" s="16"/>
      <c r="B436" s="16"/>
      <c r="D436" s="16"/>
    </row>
    <row r="437">
      <c r="A437" s="16"/>
      <c r="B437" s="16"/>
      <c r="D437" s="16"/>
    </row>
    <row r="438">
      <c r="A438" s="16"/>
      <c r="B438" s="16"/>
      <c r="D438" s="16"/>
    </row>
    <row r="439">
      <c r="A439" s="16"/>
      <c r="B439" s="16"/>
      <c r="D439" s="16"/>
    </row>
    <row r="440">
      <c r="A440" s="16"/>
      <c r="B440" s="16"/>
      <c r="D440" s="16"/>
    </row>
    <row r="441">
      <c r="A441" s="16"/>
      <c r="B441" s="16"/>
      <c r="D441" s="16"/>
    </row>
    <row r="442">
      <c r="A442" s="16"/>
      <c r="B442" s="16"/>
      <c r="D442" s="16"/>
    </row>
    <row r="443">
      <c r="A443" s="16"/>
      <c r="B443" s="16"/>
      <c r="D443" s="16"/>
    </row>
    <row r="444">
      <c r="A444" s="16"/>
      <c r="B444" s="16"/>
      <c r="D444" s="16"/>
    </row>
    <row r="445">
      <c r="A445" s="16"/>
      <c r="B445" s="16"/>
      <c r="D445" s="16"/>
    </row>
    <row r="446">
      <c r="A446" s="16"/>
      <c r="B446" s="16"/>
      <c r="D446" s="16"/>
    </row>
    <row r="447">
      <c r="A447" s="16"/>
      <c r="B447" s="16"/>
      <c r="D447" s="16"/>
    </row>
    <row r="448">
      <c r="A448" s="16"/>
      <c r="B448" s="16"/>
      <c r="D448" s="16"/>
    </row>
    <row r="449">
      <c r="A449" s="16"/>
      <c r="B449" s="16"/>
      <c r="D449" s="16"/>
    </row>
    <row r="450">
      <c r="A450" s="16"/>
      <c r="B450" s="16"/>
      <c r="D450" s="16"/>
    </row>
    <row r="451">
      <c r="A451" s="16"/>
      <c r="B451" s="16"/>
      <c r="D451" s="16"/>
    </row>
    <row r="452">
      <c r="A452" s="16"/>
      <c r="B452" s="16"/>
      <c r="D452" s="16"/>
    </row>
    <row r="453">
      <c r="A453" s="16"/>
      <c r="B453" s="16"/>
      <c r="D453" s="16"/>
    </row>
    <row r="454">
      <c r="A454" s="16"/>
      <c r="B454" s="16"/>
      <c r="D454" s="16"/>
    </row>
    <row r="455">
      <c r="A455" s="16"/>
      <c r="B455" s="16"/>
      <c r="D455" s="16"/>
    </row>
    <row r="456">
      <c r="A456" s="16"/>
      <c r="B456" s="16"/>
      <c r="D456" s="16"/>
    </row>
    <row r="457">
      <c r="A457" s="16"/>
      <c r="B457" s="16"/>
      <c r="D457" s="16"/>
    </row>
    <row r="458">
      <c r="A458" s="16"/>
      <c r="B458" s="16"/>
      <c r="D458" s="16"/>
    </row>
    <row r="459">
      <c r="A459" s="16"/>
      <c r="B459" s="16"/>
      <c r="D459" s="16"/>
    </row>
    <row r="460">
      <c r="A460" s="16"/>
      <c r="B460" s="16"/>
      <c r="D460" s="16"/>
    </row>
    <row r="461">
      <c r="A461" s="16"/>
      <c r="B461" s="16"/>
      <c r="D461" s="16"/>
    </row>
    <row r="462">
      <c r="A462" s="16"/>
      <c r="B462" s="16"/>
      <c r="D462" s="16"/>
    </row>
    <row r="463">
      <c r="A463" s="16"/>
      <c r="B463" s="16"/>
      <c r="D463" s="16"/>
    </row>
    <row r="464">
      <c r="A464" s="16"/>
      <c r="B464" s="16"/>
      <c r="D464" s="16"/>
    </row>
    <row r="465">
      <c r="A465" s="16"/>
      <c r="B465" s="16"/>
      <c r="D465" s="16"/>
    </row>
    <row r="466">
      <c r="A466" s="16"/>
      <c r="B466" s="16"/>
      <c r="D466" s="16"/>
    </row>
    <row r="467">
      <c r="A467" s="16"/>
      <c r="B467" s="16"/>
      <c r="D467" s="16"/>
    </row>
    <row r="468">
      <c r="A468" s="16"/>
      <c r="B468" s="16"/>
      <c r="D468" s="16"/>
    </row>
    <row r="469">
      <c r="A469" s="16"/>
      <c r="B469" s="16"/>
      <c r="D469" s="16"/>
    </row>
    <row r="470">
      <c r="A470" s="16"/>
      <c r="B470" s="16"/>
      <c r="D470" s="16"/>
    </row>
    <row r="471">
      <c r="A471" s="16"/>
      <c r="B471" s="16"/>
      <c r="D471" s="16"/>
    </row>
    <row r="472">
      <c r="A472" s="16"/>
      <c r="B472" s="16"/>
      <c r="D472" s="16"/>
    </row>
    <row r="473">
      <c r="A473" s="16"/>
      <c r="B473" s="16"/>
      <c r="D473" s="16"/>
    </row>
    <row r="474">
      <c r="A474" s="16"/>
      <c r="B474" s="16"/>
      <c r="D474" s="16"/>
    </row>
    <row r="475">
      <c r="A475" s="16"/>
      <c r="B475" s="16"/>
      <c r="D475" s="16"/>
    </row>
    <row r="476">
      <c r="A476" s="16"/>
      <c r="B476" s="16"/>
      <c r="D476" s="16"/>
    </row>
    <row r="477">
      <c r="A477" s="16"/>
      <c r="B477" s="16"/>
      <c r="D477" s="16"/>
    </row>
    <row r="478">
      <c r="A478" s="16"/>
      <c r="B478" s="16"/>
      <c r="D478" s="16"/>
    </row>
    <row r="479">
      <c r="A479" s="16"/>
      <c r="B479" s="16"/>
      <c r="D479" s="16"/>
    </row>
    <row r="480">
      <c r="A480" s="16"/>
      <c r="B480" s="16"/>
      <c r="D480" s="16"/>
    </row>
    <row r="481">
      <c r="A481" s="16"/>
      <c r="B481" s="16"/>
      <c r="D481" s="16"/>
    </row>
    <row r="482">
      <c r="A482" s="16"/>
      <c r="B482" s="16"/>
      <c r="D482" s="16"/>
    </row>
    <row r="483">
      <c r="A483" s="16"/>
      <c r="B483" s="16"/>
      <c r="D483" s="16"/>
    </row>
    <row r="484">
      <c r="A484" s="16"/>
      <c r="B484" s="16"/>
      <c r="D484" s="16"/>
    </row>
    <row r="485">
      <c r="A485" s="16"/>
      <c r="B485" s="16"/>
      <c r="D485" s="16"/>
    </row>
    <row r="486">
      <c r="A486" s="16"/>
      <c r="B486" s="16"/>
      <c r="D486" s="16"/>
    </row>
    <row r="487">
      <c r="A487" s="16"/>
      <c r="B487" s="16"/>
      <c r="D487" s="16"/>
    </row>
    <row r="488">
      <c r="A488" s="16"/>
      <c r="B488" s="16"/>
      <c r="D488" s="16"/>
    </row>
    <row r="489">
      <c r="A489" s="16"/>
      <c r="B489" s="16"/>
      <c r="D489" s="16"/>
    </row>
    <row r="490">
      <c r="A490" s="16"/>
      <c r="B490" s="16"/>
      <c r="D490" s="16"/>
    </row>
    <row r="491">
      <c r="A491" s="16"/>
      <c r="B491" s="16"/>
      <c r="D491" s="16"/>
    </row>
    <row r="492">
      <c r="A492" s="16"/>
      <c r="B492" s="16"/>
      <c r="D492" s="16"/>
    </row>
    <row r="493">
      <c r="A493" s="16"/>
      <c r="B493" s="16"/>
      <c r="D493" s="16"/>
    </row>
    <row r="494">
      <c r="A494" s="16"/>
      <c r="B494" s="16"/>
      <c r="D494" s="16"/>
    </row>
    <row r="495">
      <c r="A495" s="16"/>
      <c r="B495" s="16"/>
      <c r="D495" s="16"/>
    </row>
    <row r="496">
      <c r="A496" s="16"/>
      <c r="B496" s="16"/>
      <c r="D496" s="16"/>
    </row>
    <row r="497">
      <c r="A497" s="16"/>
      <c r="B497" s="16"/>
      <c r="D497" s="16"/>
    </row>
    <row r="498">
      <c r="A498" s="16"/>
      <c r="B498" s="16"/>
      <c r="D498" s="16"/>
    </row>
    <row r="499">
      <c r="A499" s="16"/>
      <c r="B499" s="16"/>
      <c r="D499" s="16"/>
    </row>
    <row r="500">
      <c r="A500" s="16"/>
      <c r="B500" s="16"/>
      <c r="D500" s="16"/>
    </row>
    <row r="501">
      <c r="A501" s="16"/>
      <c r="B501" s="16"/>
      <c r="D501" s="16"/>
    </row>
    <row r="502">
      <c r="A502" s="16"/>
      <c r="B502" s="16"/>
      <c r="D502" s="16"/>
    </row>
    <row r="503">
      <c r="A503" s="16"/>
      <c r="B503" s="16"/>
      <c r="D503" s="16"/>
    </row>
    <row r="504">
      <c r="A504" s="16"/>
      <c r="B504" s="16"/>
      <c r="D504" s="16"/>
    </row>
    <row r="505">
      <c r="A505" s="16"/>
      <c r="B505" s="16"/>
      <c r="D505" s="16"/>
    </row>
    <row r="506">
      <c r="A506" s="16"/>
      <c r="B506" s="16"/>
      <c r="D506" s="16"/>
    </row>
    <row r="507">
      <c r="A507" s="16"/>
      <c r="B507" s="16"/>
      <c r="D507" s="16"/>
    </row>
    <row r="508">
      <c r="A508" s="16"/>
      <c r="B508" s="16"/>
      <c r="D508" s="16"/>
    </row>
    <row r="509">
      <c r="A509" s="16"/>
      <c r="B509" s="16"/>
      <c r="D509" s="16"/>
    </row>
    <row r="510">
      <c r="A510" s="16"/>
      <c r="B510" s="16"/>
      <c r="D510" s="16"/>
    </row>
    <row r="511">
      <c r="A511" s="16"/>
      <c r="B511" s="16"/>
      <c r="D511" s="16"/>
    </row>
    <row r="512">
      <c r="A512" s="16"/>
      <c r="B512" s="16"/>
      <c r="D512" s="16"/>
    </row>
    <row r="513">
      <c r="A513" s="16"/>
      <c r="B513" s="16"/>
      <c r="D513" s="16"/>
    </row>
    <row r="514">
      <c r="A514" s="16"/>
      <c r="B514" s="16"/>
      <c r="D514" s="16"/>
    </row>
    <row r="515">
      <c r="A515" s="16"/>
      <c r="B515" s="16"/>
      <c r="D515" s="16"/>
    </row>
    <row r="516">
      <c r="A516" s="16"/>
      <c r="B516" s="16"/>
      <c r="D516" s="16"/>
    </row>
    <row r="517">
      <c r="A517" s="16"/>
      <c r="B517" s="16"/>
      <c r="D517" s="16"/>
    </row>
    <row r="518">
      <c r="A518" s="16"/>
      <c r="B518" s="16"/>
      <c r="D518" s="16"/>
    </row>
    <row r="519">
      <c r="A519" s="16"/>
      <c r="B519" s="16"/>
      <c r="D519" s="16"/>
    </row>
    <row r="520">
      <c r="A520" s="16"/>
      <c r="B520" s="16"/>
      <c r="D520" s="16"/>
    </row>
    <row r="521">
      <c r="A521" s="16"/>
      <c r="B521" s="16"/>
      <c r="D521" s="16"/>
    </row>
    <row r="522">
      <c r="A522" s="16"/>
      <c r="B522" s="16"/>
      <c r="D522" s="16"/>
    </row>
    <row r="523">
      <c r="A523" s="16"/>
      <c r="B523" s="16"/>
      <c r="D523" s="16"/>
    </row>
    <row r="524">
      <c r="A524" s="16"/>
      <c r="B524" s="16"/>
      <c r="D524" s="16"/>
    </row>
    <row r="525">
      <c r="A525" s="16"/>
      <c r="B525" s="16"/>
      <c r="D525" s="16"/>
    </row>
    <row r="526">
      <c r="A526" s="16"/>
      <c r="B526" s="16"/>
      <c r="D526" s="16"/>
    </row>
    <row r="527">
      <c r="A527" s="16"/>
      <c r="B527" s="16"/>
      <c r="D527" s="16"/>
    </row>
    <row r="528">
      <c r="A528" s="16"/>
      <c r="B528" s="16"/>
      <c r="D528" s="16"/>
    </row>
    <row r="529">
      <c r="A529" s="16"/>
      <c r="B529" s="16"/>
      <c r="D529" s="16"/>
    </row>
    <row r="530">
      <c r="A530" s="16"/>
      <c r="B530" s="16"/>
      <c r="D530" s="16"/>
    </row>
    <row r="531">
      <c r="A531" s="16"/>
      <c r="B531" s="16"/>
      <c r="D531" s="16"/>
    </row>
    <row r="532">
      <c r="A532" s="16"/>
      <c r="B532" s="16"/>
      <c r="D532" s="16"/>
    </row>
    <row r="533">
      <c r="A533" s="16"/>
      <c r="B533" s="16"/>
      <c r="D533" s="16"/>
    </row>
    <row r="534">
      <c r="A534" s="16"/>
      <c r="B534" s="16"/>
      <c r="D534" s="16"/>
    </row>
    <row r="535">
      <c r="A535" s="16"/>
      <c r="B535" s="16"/>
      <c r="D535" s="16"/>
    </row>
    <row r="536">
      <c r="A536" s="16"/>
      <c r="B536" s="16"/>
      <c r="D536" s="16"/>
    </row>
    <row r="537">
      <c r="A537" s="16"/>
      <c r="B537" s="16"/>
      <c r="D537" s="16"/>
    </row>
    <row r="538">
      <c r="A538" s="16"/>
      <c r="B538" s="16"/>
      <c r="D538" s="16"/>
    </row>
    <row r="539">
      <c r="A539" s="16"/>
      <c r="B539" s="16"/>
      <c r="D539" s="16"/>
    </row>
    <row r="540">
      <c r="A540" s="16"/>
      <c r="B540" s="16"/>
      <c r="D540" s="16"/>
    </row>
    <row r="541">
      <c r="A541" s="16"/>
      <c r="B541" s="16"/>
      <c r="D541" s="16"/>
    </row>
    <row r="542">
      <c r="A542" s="16"/>
      <c r="B542" s="16"/>
      <c r="D542" s="16"/>
    </row>
    <row r="543">
      <c r="A543" s="16"/>
      <c r="B543" s="16"/>
      <c r="D543" s="16"/>
    </row>
    <row r="544">
      <c r="A544" s="16"/>
      <c r="B544" s="16"/>
      <c r="D544" s="16"/>
    </row>
    <row r="545">
      <c r="A545" s="16"/>
      <c r="B545" s="16"/>
      <c r="D545" s="16"/>
    </row>
    <row r="546">
      <c r="A546" s="16"/>
      <c r="B546" s="16"/>
      <c r="D546" s="16"/>
    </row>
    <row r="547">
      <c r="A547" s="16"/>
      <c r="B547" s="16"/>
      <c r="D547" s="16"/>
    </row>
    <row r="548">
      <c r="A548" s="16"/>
      <c r="B548" s="16"/>
      <c r="D548" s="16"/>
    </row>
    <row r="549">
      <c r="A549" s="16"/>
      <c r="B549" s="16"/>
      <c r="D549" s="16"/>
    </row>
    <row r="550">
      <c r="A550" s="16"/>
      <c r="B550" s="16"/>
      <c r="D550" s="16"/>
    </row>
    <row r="551">
      <c r="A551" s="16"/>
      <c r="B551" s="16"/>
      <c r="D551" s="16"/>
    </row>
    <row r="552">
      <c r="A552" s="16"/>
      <c r="B552" s="16"/>
      <c r="D552" s="16"/>
    </row>
    <row r="553">
      <c r="A553" s="16"/>
      <c r="B553" s="16"/>
      <c r="D553" s="16"/>
    </row>
    <row r="554">
      <c r="A554" s="16"/>
      <c r="B554" s="16"/>
      <c r="D554" s="16"/>
    </row>
    <row r="555">
      <c r="A555" s="16"/>
      <c r="B555" s="16"/>
      <c r="D555" s="16"/>
    </row>
    <row r="556">
      <c r="A556" s="16"/>
      <c r="B556" s="16"/>
      <c r="D556" s="16"/>
    </row>
    <row r="557">
      <c r="A557" s="16"/>
      <c r="B557" s="16"/>
      <c r="D557" s="16"/>
    </row>
    <row r="558">
      <c r="A558" s="16"/>
      <c r="B558" s="16"/>
      <c r="D558" s="16"/>
    </row>
    <row r="559">
      <c r="A559" s="16"/>
      <c r="B559" s="16"/>
      <c r="D559" s="16"/>
    </row>
    <row r="560">
      <c r="A560" s="16"/>
      <c r="B560" s="16"/>
      <c r="D560" s="16"/>
    </row>
    <row r="561">
      <c r="A561" s="16"/>
      <c r="B561" s="16"/>
      <c r="D561" s="16"/>
    </row>
    <row r="562">
      <c r="A562" s="16"/>
      <c r="B562" s="16"/>
      <c r="D562" s="16"/>
    </row>
    <row r="563">
      <c r="A563" s="16"/>
      <c r="B563" s="16"/>
      <c r="D563" s="16"/>
    </row>
    <row r="564">
      <c r="A564" s="16"/>
      <c r="B564" s="16"/>
      <c r="D564" s="16"/>
    </row>
    <row r="565">
      <c r="A565" s="16"/>
      <c r="B565" s="16"/>
      <c r="D565" s="16"/>
    </row>
    <row r="566">
      <c r="A566" s="16"/>
      <c r="B566" s="16"/>
      <c r="D566" s="16"/>
    </row>
    <row r="567">
      <c r="A567" s="16"/>
      <c r="B567" s="16"/>
      <c r="D567" s="16"/>
    </row>
    <row r="568">
      <c r="A568" s="16"/>
      <c r="B568" s="16"/>
      <c r="D568" s="16"/>
    </row>
    <row r="569">
      <c r="A569" s="16"/>
      <c r="B569" s="16"/>
      <c r="D569" s="16"/>
    </row>
    <row r="570">
      <c r="A570" s="16"/>
      <c r="B570" s="16"/>
      <c r="D570" s="16"/>
    </row>
    <row r="571">
      <c r="A571" s="16"/>
      <c r="B571" s="16"/>
      <c r="D571" s="16"/>
    </row>
    <row r="572">
      <c r="A572" s="16"/>
      <c r="B572" s="16"/>
      <c r="D572" s="16"/>
    </row>
    <row r="573">
      <c r="A573" s="16"/>
      <c r="B573" s="16"/>
      <c r="D573" s="16"/>
    </row>
    <row r="574">
      <c r="A574" s="16"/>
      <c r="B574" s="16"/>
      <c r="D574" s="16"/>
    </row>
    <row r="575">
      <c r="A575" s="16"/>
      <c r="B575" s="16"/>
      <c r="D575" s="16"/>
    </row>
    <row r="576">
      <c r="A576" s="16"/>
      <c r="B576" s="16"/>
      <c r="D576" s="16"/>
    </row>
    <row r="577">
      <c r="A577" s="16"/>
      <c r="B577" s="16"/>
      <c r="D577" s="16"/>
    </row>
    <row r="578">
      <c r="A578" s="16"/>
      <c r="B578" s="16"/>
      <c r="D578" s="16"/>
    </row>
    <row r="579">
      <c r="A579" s="16"/>
      <c r="B579" s="16"/>
      <c r="D579" s="16"/>
    </row>
    <row r="580">
      <c r="A580" s="16"/>
      <c r="B580" s="16"/>
      <c r="D580" s="16"/>
    </row>
    <row r="581">
      <c r="A581" s="16"/>
      <c r="B581" s="16"/>
      <c r="D581" s="16"/>
    </row>
    <row r="582">
      <c r="A582" s="16"/>
      <c r="B582" s="16"/>
      <c r="D582" s="16"/>
    </row>
    <row r="583">
      <c r="A583" s="16"/>
      <c r="B583" s="16"/>
      <c r="D583" s="16"/>
    </row>
    <row r="584">
      <c r="A584" s="16"/>
      <c r="B584" s="16"/>
      <c r="D584" s="16"/>
    </row>
    <row r="585">
      <c r="A585" s="16"/>
      <c r="B585" s="16"/>
      <c r="D585" s="16"/>
    </row>
    <row r="586">
      <c r="A586" s="16"/>
      <c r="B586" s="16"/>
      <c r="D586" s="16"/>
    </row>
    <row r="587">
      <c r="A587" s="16"/>
      <c r="B587" s="16"/>
      <c r="D587" s="16"/>
    </row>
    <row r="588">
      <c r="A588" s="16"/>
      <c r="B588" s="16"/>
      <c r="D588" s="16"/>
    </row>
    <row r="589">
      <c r="A589" s="16"/>
      <c r="B589" s="16"/>
      <c r="D589" s="16"/>
    </row>
    <row r="590">
      <c r="A590" s="16"/>
      <c r="B590" s="16"/>
      <c r="D590" s="16"/>
    </row>
    <row r="591">
      <c r="A591" s="16"/>
      <c r="B591" s="16"/>
      <c r="D591" s="16"/>
    </row>
    <row r="592">
      <c r="A592" s="16"/>
      <c r="B592" s="16"/>
      <c r="D592" s="16"/>
    </row>
    <row r="593">
      <c r="A593" s="16"/>
      <c r="B593" s="16"/>
      <c r="D593" s="16"/>
    </row>
    <row r="594">
      <c r="A594" s="16"/>
      <c r="B594" s="16"/>
      <c r="D594" s="16"/>
    </row>
    <row r="595">
      <c r="A595" s="16"/>
      <c r="B595" s="16"/>
      <c r="D595" s="16"/>
    </row>
    <row r="596">
      <c r="A596" s="16"/>
      <c r="B596" s="16"/>
      <c r="D596" s="16"/>
    </row>
    <row r="597">
      <c r="A597" s="16"/>
      <c r="B597" s="16"/>
      <c r="D597" s="16"/>
    </row>
    <row r="598">
      <c r="A598" s="16"/>
      <c r="B598" s="16"/>
      <c r="D598" s="16"/>
    </row>
    <row r="599">
      <c r="A599" s="16"/>
      <c r="B599" s="16"/>
      <c r="D599" s="16"/>
    </row>
    <row r="600">
      <c r="A600" s="16"/>
      <c r="B600" s="16"/>
      <c r="D600" s="16"/>
    </row>
    <row r="601">
      <c r="A601" s="16"/>
      <c r="B601" s="16"/>
      <c r="D601" s="16"/>
    </row>
    <row r="602">
      <c r="A602" s="16"/>
      <c r="B602" s="16"/>
      <c r="D602" s="16"/>
    </row>
    <row r="603">
      <c r="A603" s="16"/>
      <c r="B603" s="16"/>
      <c r="D603" s="16"/>
    </row>
    <row r="604">
      <c r="A604" s="16"/>
      <c r="B604" s="16"/>
      <c r="D604" s="16"/>
    </row>
    <row r="605">
      <c r="A605" s="16"/>
      <c r="B605" s="16"/>
      <c r="D605" s="16"/>
    </row>
    <row r="606">
      <c r="A606" s="16"/>
      <c r="B606" s="16"/>
      <c r="D606" s="16"/>
    </row>
    <row r="607">
      <c r="A607" s="16"/>
      <c r="B607" s="16"/>
      <c r="D607" s="16"/>
    </row>
    <row r="608">
      <c r="A608" s="16"/>
      <c r="B608" s="16"/>
      <c r="D608" s="16"/>
    </row>
    <row r="609">
      <c r="A609" s="16"/>
      <c r="B609" s="16"/>
      <c r="D609" s="16"/>
    </row>
    <row r="610">
      <c r="A610" s="16"/>
      <c r="B610" s="16"/>
      <c r="D610" s="16"/>
    </row>
    <row r="611">
      <c r="A611" s="16"/>
      <c r="B611" s="16"/>
      <c r="D611" s="16"/>
    </row>
    <row r="612">
      <c r="A612" s="16"/>
      <c r="B612" s="16"/>
      <c r="D612" s="16"/>
    </row>
    <row r="613">
      <c r="A613" s="16"/>
      <c r="B613" s="16"/>
      <c r="D613" s="16"/>
    </row>
    <row r="614">
      <c r="A614" s="16"/>
      <c r="B614" s="16"/>
      <c r="D614" s="16"/>
    </row>
    <row r="615">
      <c r="A615" s="16"/>
      <c r="B615" s="16"/>
      <c r="D615" s="16"/>
    </row>
    <row r="616">
      <c r="A616" s="16"/>
      <c r="B616" s="16"/>
      <c r="D616" s="16"/>
    </row>
    <row r="617">
      <c r="A617" s="16"/>
      <c r="B617" s="16"/>
      <c r="D617" s="16"/>
    </row>
    <row r="618">
      <c r="A618" s="16"/>
      <c r="B618" s="16"/>
      <c r="D618" s="16"/>
    </row>
    <row r="619">
      <c r="A619" s="16"/>
      <c r="B619" s="16"/>
      <c r="D619" s="16"/>
    </row>
    <row r="620">
      <c r="A620" s="16"/>
      <c r="B620" s="16"/>
      <c r="D620" s="16"/>
    </row>
    <row r="621">
      <c r="A621" s="16"/>
      <c r="B621" s="16"/>
      <c r="D621" s="16"/>
    </row>
    <row r="622">
      <c r="A622" s="16"/>
      <c r="B622" s="16"/>
      <c r="D622" s="16"/>
    </row>
    <row r="623">
      <c r="A623" s="16"/>
      <c r="B623" s="16"/>
      <c r="D623" s="16"/>
    </row>
    <row r="624">
      <c r="A624" s="16"/>
      <c r="B624" s="16"/>
      <c r="D624" s="16"/>
    </row>
    <row r="625">
      <c r="A625" s="16"/>
      <c r="B625" s="16"/>
      <c r="D625" s="16"/>
    </row>
    <row r="626">
      <c r="A626" s="16"/>
      <c r="B626" s="16"/>
      <c r="D626" s="16"/>
    </row>
    <row r="627">
      <c r="A627" s="16"/>
      <c r="B627" s="16"/>
      <c r="D627" s="16"/>
    </row>
    <row r="628">
      <c r="A628" s="16"/>
      <c r="B628" s="16"/>
      <c r="D628" s="16"/>
    </row>
    <row r="629">
      <c r="A629" s="16"/>
      <c r="B629" s="16"/>
      <c r="D629" s="16"/>
    </row>
    <row r="630">
      <c r="A630" s="16"/>
      <c r="B630" s="16"/>
      <c r="D630" s="16"/>
    </row>
    <row r="631">
      <c r="A631" s="16"/>
      <c r="B631" s="16"/>
      <c r="D631" s="16"/>
    </row>
    <row r="632">
      <c r="A632" s="16"/>
      <c r="B632" s="16"/>
      <c r="D632" s="16"/>
    </row>
    <row r="633">
      <c r="A633" s="16"/>
      <c r="B633" s="16"/>
      <c r="D633" s="16"/>
    </row>
    <row r="634">
      <c r="A634" s="16"/>
      <c r="B634" s="16"/>
      <c r="D634" s="16"/>
    </row>
    <row r="635">
      <c r="A635" s="16"/>
      <c r="B635" s="16"/>
      <c r="D635" s="16"/>
    </row>
    <row r="636">
      <c r="A636" s="16"/>
      <c r="B636" s="16"/>
      <c r="D636" s="16"/>
    </row>
    <row r="637">
      <c r="A637" s="16"/>
      <c r="B637" s="16"/>
      <c r="D637" s="16"/>
    </row>
    <row r="638">
      <c r="A638" s="16"/>
      <c r="B638" s="16"/>
      <c r="D638" s="16"/>
    </row>
    <row r="639">
      <c r="A639" s="16"/>
      <c r="B639" s="16"/>
      <c r="D639" s="16"/>
    </row>
    <row r="640">
      <c r="A640" s="16"/>
      <c r="B640" s="16"/>
      <c r="D640" s="16"/>
    </row>
    <row r="641">
      <c r="A641" s="16"/>
      <c r="B641" s="16"/>
      <c r="D641" s="16"/>
    </row>
    <row r="642">
      <c r="A642" s="16"/>
      <c r="B642" s="16"/>
      <c r="D642" s="16"/>
    </row>
    <row r="643">
      <c r="A643" s="16"/>
      <c r="B643" s="16"/>
      <c r="D643" s="16"/>
    </row>
    <row r="644">
      <c r="A644" s="16"/>
      <c r="B644" s="16"/>
      <c r="D644" s="16"/>
    </row>
    <row r="645">
      <c r="A645" s="16"/>
      <c r="B645" s="16"/>
      <c r="D645" s="16"/>
    </row>
    <row r="646">
      <c r="A646" s="16"/>
      <c r="B646" s="16"/>
      <c r="D646" s="16"/>
    </row>
    <row r="647">
      <c r="A647" s="16"/>
      <c r="B647" s="16"/>
      <c r="D647" s="16"/>
    </row>
    <row r="648">
      <c r="A648" s="16"/>
      <c r="B648" s="16"/>
      <c r="D648" s="16"/>
    </row>
    <row r="649">
      <c r="A649" s="16"/>
      <c r="B649" s="16"/>
      <c r="D649" s="16"/>
    </row>
    <row r="650">
      <c r="A650" s="16"/>
      <c r="B650" s="16"/>
      <c r="D650" s="16"/>
    </row>
    <row r="651">
      <c r="A651" s="16"/>
      <c r="B651" s="16"/>
      <c r="D651" s="16"/>
    </row>
    <row r="652">
      <c r="A652" s="16"/>
      <c r="B652" s="16"/>
      <c r="D652" s="16"/>
    </row>
    <row r="653">
      <c r="A653" s="16"/>
      <c r="B653" s="16"/>
      <c r="D653" s="16"/>
    </row>
    <row r="654">
      <c r="A654" s="16"/>
      <c r="B654" s="16"/>
      <c r="D654" s="16"/>
    </row>
    <row r="655">
      <c r="A655" s="16"/>
      <c r="B655" s="16"/>
      <c r="D655" s="16"/>
    </row>
    <row r="656">
      <c r="A656" s="16"/>
      <c r="B656" s="16"/>
      <c r="D656" s="16"/>
    </row>
    <row r="657">
      <c r="A657" s="16"/>
      <c r="B657" s="16"/>
      <c r="D657" s="16"/>
    </row>
    <row r="658">
      <c r="A658" s="16"/>
      <c r="B658" s="16"/>
      <c r="D658" s="16"/>
    </row>
    <row r="659">
      <c r="A659" s="16"/>
      <c r="B659" s="16"/>
      <c r="D659" s="16"/>
    </row>
    <row r="660">
      <c r="A660" s="16"/>
      <c r="B660" s="16"/>
      <c r="D660" s="16"/>
    </row>
    <row r="661">
      <c r="A661" s="16"/>
      <c r="B661" s="16"/>
      <c r="D661" s="16"/>
    </row>
    <row r="662">
      <c r="A662" s="16"/>
      <c r="B662" s="16"/>
      <c r="D662" s="16"/>
    </row>
    <row r="663">
      <c r="A663" s="16"/>
      <c r="B663" s="16"/>
      <c r="D663" s="16"/>
    </row>
    <row r="664">
      <c r="A664" s="16"/>
      <c r="B664" s="16"/>
      <c r="D664" s="16"/>
    </row>
    <row r="665">
      <c r="A665" s="16"/>
      <c r="B665" s="16"/>
      <c r="D665" s="16"/>
    </row>
    <row r="666">
      <c r="A666" s="16"/>
      <c r="B666" s="16"/>
      <c r="D666" s="16"/>
    </row>
    <row r="667">
      <c r="A667" s="16"/>
      <c r="B667" s="16"/>
      <c r="D667" s="16"/>
    </row>
    <row r="668">
      <c r="A668" s="16"/>
      <c r="B668" s="16"/>
      <c r="D668" s="16"/>
    </row>
    <row r="669">
      <c r="A669" s="16"/>
      <c r="B669" s="16"/>
      <c r="D669" s="16"/>
    </row>
    <row r="670">
      <c r="A670" s="16"/>
      <c r="B670" s="16"/>
      <c r="D670" s="16"/>
    </row>
    <row r="671">
      <c r="A671" s="16"/>
      <c r="B671" s="16"/>
      <c r="D671" s="16"/>
    </row>
    <row r="672">
      <c r="A672" s="16"/>
      <c r="B672" s="16"/>
      <c r="D672" s="16"/>
    </row>
    <row r="673">
      <c r="A673" s="16"/>
      <c r="B673" s="16"/>
      <c r="D673" s="16"/>
    </row>
    <row r="674">
      <c r="A674" s="16"/>
      <c r="B674" s="16"/>
      <c r="D674" s="16"/>
    </row>
    <row r="675">
      <c r="A675" s="16"/>
      <c r="B675" s="16"/>
      <c r="D675" s="16"/>
    </row>
    <row r="676">
      <c r="A676" s="16"/>
      <c r="B676" s="16"/>
      <c r="D676" s="16"/>
    </row>
    <row r="677">
      <c r="A677" s="16"/>
      <c r="B677" s="16"/>
      <c r="D677" s="16"/>
    </row>
    <row r="678">
      <c r="A678" s="16"/>
      <c r="B678" s="16"/>
      <c r="D678" s="16"/>
    </row>
    <row r="679">
      <c r="A679" s="16"/>
      <c r="B679" s="16"/>
      <c r="D679" s="16"/>
    </row>
    <row r="680">
      <c r="A680" s="16"/>
      <c r="B680" s="16"/>
      <c r="D680" s="16"/>
    </row>
    <row r="681">
      <c r="A681" s="16"/>
      <c r="B681" s="16"/>
      <c r="D681" s="16"/>
    </row>
    <row r="682">
      <c r="A682" s="16"/>
      <c r="B682" s="16"/>
      <c r="D682" s="16"/>
    </row>
    <row r="683">
      <c r="A683" s="16"/>
      <c r="B683" s="16"/>
      <c r="D683" s="16"/>
    </row>
    <row r="684">
      <c r="A684" s="16"/>
      <c r="B684" s="16"/>
      <c r="D684" s="16"/>
    </row>
    <row r="685">
      <c r="A685" s="16"/>
      <c r="B685" s="16"/>
      <c r="D685" s="16"/>
    </row>
    <row r="686">
      <c r="A686" s="16"/>
      <c r="B686" s="16"/>
      <c r="D686" s="16"/>
    </row>
    <row r="687">
      <c r="A687" s="16"/>
      <c r="B687" s="16"/>
      <c r="D687" s="16"/>
    </row>
    <row r="688">
      <c r="A688" s="16"/>
      <c r="B688" s="16"/>
      <c r="D688" s="16"/>
    </row>
    <row r="689">
      <c r="A689" s="16"/>
      <c r="B689" s="16"/>
      <c r="D689" s="16"/>
    </row>
    <row r="690">
      <c r="A690" s="16"/>
      <c r="B690" s="16"/>
      <c r="D690" s="16"/>
    </row>
    <row r="691">
      <c r="A691" s="16"/>
      <c r="B691" s="16"/>
      <c r="D691" s="16"/>
    </row>
    <row r="692">
      <c r="A692" s="16"/>
      <c r="B692" s="16"/>
      <c r="D692" s="16"/>
    </row>
    <row r="693">
      <c r="A693" s="16"/>
      <c r="B693" s="16"/>
      <c r="D693" s="16"/>
    </row>
    <row r="694">
      <c r="A694" s="16"/>
      <c r="B694" s="16"/>
      <c r="D694" s="16"/>
    </row>
    <row r="695">
      <c r="A695" s="16"/>
      <c r="B695" s="16"/>
      <c r="D695" s="16"/>
    </row>
    <row r="696">
      <c r="A696" s="16"/>
      <c r="B696" s="16"/>
      <c r="D696" s="16"/>
    </row>
    <row r="697">
      <c r="A697" s="16"/>
      <c r="B697" s="16"/>
      <c r="D697" s="16"/>
    </row>
    <row r="698">
      <c r="A698" s="16"/>
      <c r="B698" s="16"/>
      <c r="D698" s="16"/>
    </row>
    <row r="699">
      <c r="A699" s="16"/>
      <c r="B699" s="16"/>
      <c r="D699" s="16"/>
    </row>
    <row r="700">
      <c r="A700" s="16"/>
      <c r="B700" s="16"/>
      <c r="D700" s="16"/>
    </row>
    <row r="701">
      <c r="A701" s="16"/>
      <c r="B701" s="16"/>
      <c r="D701" s="16"/>
    </row>
    <row r="702">
      <c r="A702" s="16"/>
      <c r="B702" s="16"/>
      <c r="D702" s="16"/>
    </row>
    <row r="703">
      <c r="A703" s="16"/>
      <c r="B703" s="16"/>
      <c r="D703" s="16"/>
    </row>
    <row r="704">
      <c r="A704" s="16"/>
      <c r="B704" s="16"/>
      <c r="D704" s="16"/>
    </row>
    <row r="705">
      <c r="A705" s="16"/>
      <c r="B705" s="16"/>
      <c r="D705" s="16"/>
    </row>
    <row r="706">
      <c r="A706" s="16"/>
      <c r="B706" s="16"/>
      <c r="D706" s="16"/>
    </row>
    <row r="707">
      <c r="A707" s="16"/>
      <c r="B707" s="16"/>
      <c r="D707" s="16"/>
    </row>
    <row r="708">
      <c r="A708" s="16"/>
      <c r="B708" s="16"/>
      <c r="D708" s="16"/>
    </row>
    <row r="709">
      <c r="A709" s="16"/>
      <c r="B709" s="16"/>
      <c r="D709" s="16"/>
    </row>
    <row r="710">
      <c r="A710" s="16"/>
      <c r="B710" s="16"/>
      <c r="D710" s="16"/>
    </row>
    <row r="711">
      <c r="A711" s="16"/>
      <c r="B711" s="16"/>
      <c r="D711" s="16"/>
    </row>
    <row r="712">
      <c r="A712" s="16"/>
      <c r="B712" s="16"/>
      <c r="D712" s="16"/>
    </row>
    <row r="713">
      <c r="A713" s="16"/>
      <c r="B713" s="16"/>
      <c r="D713" s="16"/>
    </row>
    <row r="714">
      <c r="A714" s="16"/>
      <c r="B714" s="16"/>
      <c r="D714" s="16"/>
    </row>
    <row r="715">
      <c r="A715" s="16"/>
      <c r="B715" s="16"/>
      <c r="D715" s="16"/>
    </row>
    <row r="716">
      <c r="A716" s="16"/>
      <c r="B716" s="16"/>
      <c r="D716" s="16"/>
    </row>
    <row r="717">
      <c r="A717" s="16"/>
      <c r="B717" s="16"/>
      <c r="D717" s="16"/>
    </row>
    <row r="718">
      <c r="A718" s="16"/>
      <c r="B718" s="16"/>
      <c r="D718" s="16"/>
    </row>
    <row r="719">
      <c r="A719" s="16"/>
      <c r="B719" s="16"/>
      <c r="D719" s="16"/>
    </row>
    <row r="720">
      <c r="A720" s="16"/>
      <c r="B720" s="16"/>
      <c r="D720" s="16"/>
    </row>
    <row r="721">
      <c r="A721" s="16"/>
      <c r="B721" s="16"/>
      <c r="D721" s="16"/>
    </row>
    <row r="722">
      <c r="A722" s="16"/>
      <c r="B722" s="16"/>
      <c r="D722" s="16"/>
    </row>
    <row r="723">
      <c r="A723" s="16"/>
      <c r="B723" s="16"/>
      <c r="D723" s="16"/>
    </row>
    <row r="724">
      <c r="A724" s="16"/>
      <c r="B724" s="16"/>
      <c r="D724" s="16"/>
    </row>
    <row r="725">
      <c r="A725" s="16"/>
      <c r="B725" s="16"/>
      <c r="D725" s="16"/>
    </row>
    <row r="726">
      <c r="A726" s="16"/>
      <c r="B726" s="16"/>
      <c r="D726" s="16"/>
    </row>
    <row r="727">
      <c r="A727" s="16"/>
      <c r="B727" s="16"/>
      <c r="D727" s="16"/>
    </row>
    <row r="728">
      <c r="A728" s="16"/>
      <c r="B728" s="16"/>
      <c r="D728" s="16"/>
    </row>
    <row r="729">
      <c r="A729" s="16"/>
      <c r="B729" s="16"/>
      <c r="D729" s="16"/>
    </row>
    <row r="730">
      <c r="A730" s="16"/>
      <c r="B730" s="16"/>
      <c r="D730" s="16"/>
    </row>
    <row r="731">
      <c r="A731" s="16"/>
      <c r="B731" s="16"/>
      <c r="D731" s="16"/>
    </row>
    <row r="732">
      <c r="A732" s="16"/>
      <c r="B732" s="16"/>
      <c r="D732" s="16"/>
    </row>
    <row r="733">
      <c r="A733" s="16"/>
      <c r="B733" s="16"/>
      <c r="D733" s="16"/>
    </row>
    <row r="734">
      <c r="A734" s="16"/>
      <c r="B734" s="16"/>
      <c r="D734" s="16"/>
    </row>
    <row r="735">
      <c r="A735" s="16"/>
      <c r="B735" s="16"/>
      <c r="D735" s="16"/>
    </row>
    <row r="736">
      <c r="A736" s="16"/>
      <c r="B736" s="16"/>
      <c r="D736" s="16"/>
    </row>
    <row r="737">
      <c r="A737" s="16"/>
      <c r="B737" s="16"/>
      <c r="D737" s="16"/>
    </row>
    <row r="738">
      <c r="A738" s="16"/>
      <c r="B738" s="16"/>
      <c r="D738" s="16"/>
    </row>
    <row r="739">
      <c r="A739" s="16"/>
      <c r="B739" s="16"/>
      <c r="D739" s="16"/>
    </row>
    <row r="740">
      <c r="A740" s="16"/>
      <c r="B740" s="16"/>
      <c r="D740" s="16"/>
    </row>
    <row r="741">
      <c r="A741" s="16"/>
      <c r="B741" s="16"/>
      <c r="D741" s="16"/>
    </row>
    <row r="742">
      <c r="A742" s="16"/>
      <c r="B742" s="16"/>
      <c r="D742" s="16"/>
    </row>
    <row r="743">
      <c r="A743" s="16"/>
      <c r="B743" s="16"/>
      <c r="D743" s="16"/>
    </row>
    <row r="744">
      <c r="A744" s="16"/>
      <c r="B744" s="16"/>
      <c r="D744" s="16"/>
    </row>
    <row r="745">
      <c r="A745" s="16"/>
      <c r="B745" s="16"/>
      <c r="D745" s="16"/>
    </row>
    <row r="746">
      <c r="A746" s="16"/>
      <c r="B746" s="16"/>
      <c r="D746" s="16"/>
    </row>
    <row r="747">
      <c r="A747" s="16"/>
      <c r="B747" s="16"/>
      <c r="D747" s="16"/>
    </row>
    <row r="748">
      <c r="A748" s="16"/>
      <c r="B748" s="16"/>
      <c r="D748" s="16"/>
    </row>
    <row r="749">
      <c r="A749" s="16"/>
      <c r="B749" s="16"/>
      <c r="D749" s="16"/>
    </row>
    <row r="750">
      <c r="A750" s="16"/>
      <c r="B750" s="16"/>
      <c r="D750" s="16"/>
    </row>
    <row r="751">
      <c r="A751" s="16"/>
      <c r="B751" s="16"/>
      <c r="D751" s="16"/>
    </row>
    <row r="752">
      <c r="A752" s="16"/>
      <c r="B752" s="16"/>
      <c r="D752" s="16"/>
    </row>
    <row r="753">
      <c r="A753" s="16"/>
      <c r="B753" s="16"/>
      <c r="D753" s="16"/>
    </row>
    <row r="754">
      <c r="A754" s="16"/>
      <c r="B754" s="16"/>
      <c r="D754" s="16"/>
    </row>
    <row r="755">
      <c r="A755" s="16"/>
      <c r="B755" s="16"/>
      <c r="D755" s="16"/>
    </row>
    <row r="756">
      <c r="A756" s="16"/>
      <c r="B756" s="16"/>
      <c r="D756" s="16"/>
    </row>
    <row r="757">
      <c r="A757" s="16"/>
      <c r="B757" s="16"/>
      <c r="D757" s="16"/>
    </row>
    <row r="758">
      <c r="A758" s="16"/>
      <c r="B758" s="16"/>
      <c r="D758" s="16"/>
    </row>
    <row r="759">
      <c r="A759" s="16"/>
      <c r="B759" s="16"/>
      <c r="D759" s="16"/>
    </row>
    <row r="760">
      <c r="A760" s="16"/>
      <c r="B760" s="16"/>
      <c r="D760" s="16"/>
    </row>
    <row r="761">
      <c r="A761" s="16"/>
      <c r="B761" s="16"/>
      <c r="D761" s="16"/>
    </row>
    <row r="762">
      <c r="A762" s="16"/>
      <c r="B762" s="16"/>
      <c r="D762" s="16"/>
    </row>
    <row r="763">
      <c r="A763" s="16"/>
      <c r="B763" s="16"/>
      <c r="D763" s="16"/>
    </row>
    <row r="764">
      <c r="A764" s="16"/>
      <c r="B764" s="16"/>
      <c r="D764" s="16"/>
    </row>
    <row r="765">
      <c r="A765" s="16"/>
      <c r="B765" s="16"/>
      <c r="D765" s="16"/>
    </row>
    <row r="766">
      <c r="A766" s="16"/>
      <c r="B766" s="16"/>
      <c r="D766" s="16"/>
    </row>
    <row r="767">
      <c r="A767" s="16"/>
      <c r="B767" s="16"/>
      <c r="D767" s="16"/>
    </row>
    <row r="768">
      <c r="A768" s="16"/>
      <c r="B768" s="16"/>
      <c r="D768" s="16"/>
    </row>
    <row r="769">
      <c r="A769" s="16"/>
      <c r="B769" s="16"/>
      <c r="D769" s="16"/>
    </row>
    <row r="770">
      <c r="A770" s="16"/>
      <c r="B770" s="16"/>
      <c r="D770" s="16"/>
    </row>
    <row r="771">
      <c r="A771" s="16"/>
      <c r="B771" s="16"/>
      <c r="D771" s="16"/>
    </row>
    <row r="772">
      <c r="A772" s="16"/>
      <c r="B772" s="16"/>
      <c r="D772" s="16"/>
    </row>
    <row r="773">
      <c r="A773" s="16"/>
      <c r="B773" s="16"/>
      <c r="D773" s="16"/>
    </row>
    <row r="774">
      <c r="A774" s="16"/>
      <c r="B774" s="16"/>
      <c r="D774" s="16"/>
    </row>
    <row r="775">
      <c r="A775" s="16"/>
      <c r="B775" s="16"/>
      <c r="D775" s="16"/>
    </row>
    <row r="776">
      <c r="A776" s="16"/>
      <c r="B776" s="16"/>
      <c r="D776" s="16"/>
    </row>
    <row r="777">
      <c r="A777" s="16"/>
      <c r="B777" s="16"/>
      <c r="D777" s="16"/>
    </row>
    <row r="778">
      <c r="A778" s="16"/>
      <c r="B778" s="16"/>
      <c r="D778" s="16"/>
    </row>
    <row r="779">
      <c r="A779" s="16"/>
      <c r="B779" s="16"/>
      <c r="D779" s="16"/>
    </row>
    <row r="780">
      <c r="A780" s="16"/>
      <c r="B780" s="16"/>
      <c r="D780" s="16"/>
    </row>
    <row r="781">
      <c r="A781" s="16"/>
      <c r="B781" s="16"/>
      <c r="D781" s="16"/>
    </row>
    <row r="782">
      <c r="A782" s="16"/>
      <c r="B782" s="16"/>
      <c r="D782" s="16"/>
    </row>
    <row r="783">
      <c r="A783" s="16"/>
      <c r="B783" s="16"/>
      <c r="D783" s="16"/>
    </row>
    <row r="784">
      <c r="A784" s="16"/>
      <c r="B784" s="16"/>
      <c r="D784" s="16"/>
    </row>
    <row r="785">
      <c r="A785" s="16"/>
      <c r="B785" s="16"/>
      <c r="D785" s="16"/>
    </row>
    <row r="786">
      <c r="A786" s="16"/>
      <c r="B786" s="16"/>
      <c r="D786" s="16"/>
    </row>
    <row r="787">
      <c r="A787" s="16"/>
      <c r="B787" s="16"/>
      <c r="D787" s="16"/>
    </row>
    <row r="788">
      <c r="A788" s="16"/>
      <c r="B788" s="16"/>
      <c r="D788" s="16"/>
    </row>
    <row r="789">
      <c r="A789" s="16"/>
      <c r="B789" s="16"/>
      <c r="D789" s="16"/>
    </row>
    <row r="790">
      <c r="A790" s="16"/>
      <c r="B790" s="16"/>
      <c r="D790" s="16"/>
    </row>
    <row r="791">
      <c r="A791" s="16"/>
      <c r="B791" s="16"/>
      <c r="D791" s="16"/>
    </row>
    <row r="792">
      <c r="A792" s="16"/>
      <c r="B792" s="16"/>
      <c r="D792" s="16"/>
    </row>
    <row r="793">
      <c r="A793" s="16"/>
      <c r="B793" s="16"/>
      <c r="D793" s="16"/>
    </row>
    <row r="794">
      <c r="A794" s="16"/>
      <c r="B794" s="16"/>
      <c r="D794" s="16"/>
    </row>
    <row r="795">
      <c r="A795" s="16"/>
      <c r="B795" s="16"/>
      <c r="D795" s="16"/>
    </row>
    <row r="796">
      <c r="A796" s="16"/>
      <c r="B796" s="16"/>
      <c r="D796" s="16"/>
    </row>
    <row r="797">
      <c r="A797" s="16"/>
      <c r="B797" s="16"/>
      <c r="D797" s="16"/>
    </row>
    <row r="798">
      <c r="A798" s="16"/>
      <c r="B798" s="16"/>
      <c r="D798" s="16"/>
    </row>
    <row r="799">
      <c r="A799" s="16"/>
      <c r="B799" s="16"/>
      <c r="D799" s="16"/>
    </row>
    <row r="800">
      <c r="A800" s="16"/>
      <c r="B800" s="16"/>
      <c r="D800" s="16"/>
    </row>
    <row r="801">
      <c r="A801" s="16"/>
      <c r="B801" s="16"/>
      <c r="D801" s="16"/>
    </row>
    <row r="802">
      <c r="A802" s="16"/>
      <c r="B802" s="16"/>
      <c r="D802" s="16"/>
    </row>
    <row r="803">
      <c r="A803" s="16"/>
      <c r="B803" s="16"/>
      <c r="D803" s="16"/>
    </row>
    <row r="804">
      <c r="A804" s="16"/>
      <c r="B804" s="16"/>
      <c r="D804" s="16"/>
    </row>
    <row r="805">
      <c r="A805" s="16"/>
      <c r="B805" s="16"/>
      <c r="D805" s="16"/>
    </row>
    <row r="806">
      <c r="A806" s="16"/>
      <c r="B806" s="16"/>
      <c r="D806" s="16"/>
    </row>
    <row r="807">
      <c r="A807" s="16"/>
      <c r="B807" s="16"/>
      <c r="D807" s="16"/>
    </row>
    <row r="808">
      <c r="A808" s="16"/>
      <c r="B808" s="16"/>
      <c r="D808" s="16"/>
    </row>
    <row r="809">
      <c r="A809" s="16"/>
      <c r="B809" s="16"/>
      <c r="D809" s="16"/>
    </row>
    <row r="810">
      <c r="A810" s="16"/>
      <c r="B810" s="16"/>
      <c r="D810" s="16"/>
    </row>
    <row r="811">
      <c r="A811" s="16"/>
      <c r="B811" s="16"/>
      <c r="D811" s="16"/>
    </row>
    <row r="812">
      <c r="A812" s="16"/>
      <c r="B812" s="16"/>
      <c r="D812" s="16"/>
    </row>
    <row r="813">
      <c r="A813" s="16"/>
      <c r="B813" s="16"/>
      <c r="D813" s="16"/>
    </row>
    <row r="814">
      <c r="A814" s="16"/>
      <c r="B814" s="16"/>
      <c r="D814" s="16"/>
    </row>
    <row r="815">
      <c r="A815" s="16"/>
      <c r="B815" s="16"/>
      <c r="D815" s="16"/>
    </row>
    <row r="816">
      <c r="A816" s="16"/>
      <c r="B816" s="16"/>
      <c r="D816" s="16"/>
    </row>
    <row r="817">
      <c r="A817" s="16"/>
      <c r="B817" s="16"/>
      <c r="D817" s="16"/>
    </row>
    <row r="818">
      <c r="A818" s="16"/>
      <c r="B818" s="16"/>
      <c r="D818" s="16"/>
    </row>
    <row r="819">
      <c r="A819" s="16"/>
      <c r="B819" s="16"/>
      <c r="D819" s="16"/>
    </row>
    <row r="820">
      <c r="A820" s="16"/>
      <c r="B820" s="16"/>
      <c r="D820" s="16"/>
    </row>
    <row r="821">
      <c r="A821" s="16"/>
      <c r="B821" s="16"/>
      <c r="D821" s="16"/>
    </row>
    <row r="822">
      <c r="A822" s="16"/>
      <c r="B822" s="16"/>
      <c r="D822" s="16"/>
    </row>
    <row r="823">
      <c r="A823" s="16"/>
      <c r="B823" s="16"/>
      <c r="D823" s="16"/>
    </row>
    <row r="824">
      <c r="A824" s="16"/>
      <c r="B824" s="16"/>
      <c r="D824" s="16"/>
    </row>
    <row r="825">
      <c r="A825" s="16"/>
      <c r="B825" s="16"/>
      <c r="D825" s="16"/>
    </row>
    <row r="826">
      <c r="A826" s="16"/>
      <c r="B826" s="16"/>
      <c r="D826" s="16"/>
    </row>
    <row r="827">
      <c r="A827" s="16"/>
      <c r="B827" s="16"/>
      <c r="D827" s="16"/>
    </row>
    <row r="828">
      <c r="A828" s="16"/>
      <c r="B828" s="16"/>
      <c r="D828" s="16"/>
    </row>
    <row r="829">
      <c r="A829" s="16"/>
      <c r="B829" s="16"/>
      <c r="D829" s="16"/>
    </row>
    <row r="830">
      <c r="A830" s="16"/>
      <c r="B830" s="16"/>
      <c r="D830" s="16"/>
    </row>
    <row r="831">
      <c r="A831" s="16"/>
      <c r="B831" s="16"/>
      <c r="D831" s="16"/>
    </row>
    <row r="832">
      <c r="A832" s="16"/>
      <c r="B832" s="16"/>
      <c r="D832" s="16"/>
    </row>
    <row r="833">
      <c r="A833" s="16"/>
      <c r="B833" s="16"/>
      <c r="D833" s="16"/>
    </row>
    <row r="834">
      <c r="A834" s="16"/>
      <c r="B834" s="16"/>
      <c r="D834" s="16"/>
    </row>
    <row r="835">
      <c r="A835" s="16"/>
      <c r="B835" s="16"/>
      <c r="D835" s="16"/>
    </row>
    <row r="836">
      <c r="A836" s="16"/>
      <c r="B836" s="16"/>
      <c r="D836" s="16"/>
    </row>
    <row r="837">
      <c r="A837" s="16"/>
      <c r="B837" s="16"/>
      <c r="D837" s="16"/>
    </row>
    <row r="838">
      <c r="A838" s="16"/>
      <c r="B838" s="16"/>
      <c r="D838" s="16"/>
    </row>
    <row r="839">
      <c r="A839" s="16"/>
      <c r="B839" s="16"/>
      <c r="D839" s="16"/>
    </row>
    <row r="840">
      <c r="A840" s="16"/>
      <c r="B840" s="16"/>
      <c r="D840" s="16"/>
    </row>
    <row r="841">
      <c r="A841" s="16"/>
      <c r="B841" s="16"/>
      <c r="D841" s="16"/>
    </row>
    <row r="842">
      <c r="A842" s="16"/>
      <c r="B842" s="16"/>
      <c r="D842" s="16"/>
    </row>
    <row r="843">
      <c r="A843" s="16"/>
      <c r="B843" s="16"/>
      <c r="D843" s="16"/>
    </row>
    <row r="844">
      <c r="A844" s="16"/>
      <c r="B844" s="16"/>
      <c r="D844" s="16"/>
    </row>
    <row r="845">
      <c r="A845" s="16"/>
      <c r="B845" s="16"/>
      <c r="D845" s="16"/>
    </row>
    <row r="846">
      <c r="A846" s="16"/>
      <c r="B846" s="16"/>
      <c r="D846" s="16"/>
    </row>
    <row r="847">
      <c r="A847" s="16"/>
      <c r="B847" s="16"/>
      <c r="D847" s="16"/>
    </row>
    <row r="848">
      <c r="A848" s="16"/>
      <c r="B848" s="16"/>
      <c r="D848" s="16"/>
    </row>
    <row r="849">
      <c r="A849" s="16"/>
      <c r="B849" s="16"/>
      <c r="D849" s="16"/>
    </row>
    <row r="850">
      <c r="A850" s="16"/>
      <c r="B850" s="16"/>
      <c r="D850" s="16"/>
    </row>
    <row r="851">
      <c r="A851" s="16"/>
      <c r="B851" s="16"/>
      <c r="D851" s="16"/>
    </row>
    <row r="852">
      <c r="A852" s="16"/>
      <c r="B852" s="16"/>
      <c r="D852" s="16"/>
    </row>
    <row r="853">
      <c r="A853" s="16"/>
      <c r="B853" s="16"/>
      <c r="D853" s="16"/>
    </row>
    <row r="854">
      <c r="A854" s="16"/>
      <c r="B854" s="16"/>
      <c r="D854" s="16"/>
    </row>
    <row r="855">
      <c r="A855" s="16"/>
      <c r="B855" s="16"/>
      <c r="D855" s="16"/>
    </row>
    <row r="856">
      <c r="A856" s="16"/>
      <c r="B856" s="16"/>
      <c r="D856" s="16"/>
    </row>
    <row r="857">
      <c r="A857" s="16"/>
      <c r="B857" s="16"/>
      <c r="D857" s="16"/>
    </row>
    <row r="858">
      <c r="A858" s="16"/>
      <c r="B858" s="16"/>
      <c r="D858" s="16"/>
    </row>
    <row r="859">
      <c r="A859" s="16"/>
      <c r="B859" s="16"/>
      <c r="D859" s="16"/>
    </row>
    <row r="860">
      <c r="A860" s="16"/>
      <c r="B860" s="16"/>
      <c r="D860" s="16"/>
    </row>
    <row r="861">
      <c r="A861" s="16"/>
      <c r="B861" s="16"/>
      <c r="D861" s="16"/>
    </row>
    <row r="862">
      <c r="A862" s="16"/>
      <c r="B862" s="16"/>
      <c r="D862" s="16"/>
    </row>
    <row r="863">
      <c r="A863" s="16"/>
      <c r="B863" s="16"/>
      <c r="D863" s="16"/>
    </row>
    <row r="864">
      <c r="A864" s="16"/>
      <c r="B864" s="16"/>
      <c r="D864" s="16"/>
    </row>
    <row r="865">
      <c r="A865" s="16"/>
      <c r="B865" s="16"/>
      <c r="D865" s="16"/>
    </row>
    <row r="866">
      <c r="A866" s="16"/>
      <c r="B866" s="16"/>
      <c r="D866" s="16"/>
    </row>
    <row r="867">
      <c r="A867" s="16"/>
      <c r="B867" s="16"/>
      <c r="D867" s="16"/>
    </row>
    <row r="868">
      <c r="A868" s="16"/>
      <c r="B868" s="16"/>
      <c r="D868" s="16"/>
    </row>
    <row r="869">
      <c r="A869" s="16"/>
      <c r="B869" s="16"/>
      <c r="D869" s="16"/>
    </row>
    <row r="870">
      <c r="A870" s="16"/>
      <c r="B870" s="16"/>
      <c r="D870" s="16"/>
    </row>
    <row r="871">
      <c r="A871" s="16"/>
      <c r="B871" s="16"/>
      <c r="D871" s="16"/>
    </row>
    <row r="872">
      <c r="A872" s="16"/>
      <c r="B872" s="16"/>
      <c r="D872" s="16"/>
    </row>
    <row r="873">
      <c r="A873" s="16"/>
      <c r="B873" s="16"/>
      <c r="D873" s="16"/>
    </row>
    <row r="874">
      <c r="A874" s="16"/>
      <c r="B874" s="16"/>
      <c r="D874" s="16"/>
    </row>
    <row r="875">
      <c r="A875" s="16"/>
      <c r="B875" s="16"/>
      <c r="D875" s="16"/>
    </row>
    <row r="876">
      <c r="A876" s="16"/>
      <c r="B876" s="16"/>
      <c r="D876" s="16"/>
    </row>
    <row r="877">
      <c r="A877" s="16"/>
      <c r="B877" s="16"/>
      <c r="D877" s="16"/>
    </row>
    <row r="878">
      <c r="A878" s="16"/>
      <c r="B878" s="16"/>
      <c r="D878" s="16"/>
    </row>
    <row r="879">
      <c r="A879" s="16"/>
      <c r="B879" s="16"/>
      <c r="D879" s="16"/>
    </row>
    <row r="880">
      <c r="A880" s="16"/>
      <c r="B880" s="16"/>
      <c r="D880" s="16"/>
    </row>
    <row r="881">
      <c r="A881" s="16"/>
      <c r="B881" s="16"/>
      <c r="D881" s="16"/>
    </row>
    <row r="882">
      <c r="A882" s="16"/>
      <c r="B882" s="16"/>
      <c r="D882" s="16"/>
    </row>
    <row r="883">
      <c r="A883" s="16"/>
      <c r="B883" s="16"/>
      <c r="D883" s="16"/>
    </row>
    <row r="884">
      <c r="A884" s="16"/>
      <c r="B884" s="16"/>
      <c r="D884" s="16"/>
    </row>
    <row r="885">
      <c r="A885" s="16"/>
      <c r="B885" s="16"/>
      <c r="D885" s="16"/>
    </row>
    <row r="886">
      <c r="A886" s="16"/>
      <c r="B886" s="16"/>
      <c r="D886" s="16"/>
    </row>
    <row r="887">
      <c r="A887" s="16"/>
      <c r="B887" s="16"/>
      <c r="D887" s="16"/>
    </row>
    <row r="888">
      <c r="A888" s="16"/>
      <c r="B888" s="16"/>
      <c r="D888" s="16"/>
    </row>
    <row r="889">
      <c r="A889" s="16"/>
      <c r="B889" s="16"/>
      <c r="D889" s="16"/>
    </row>
    <row r="890">
      <c r="A890" s="16"/>
      <c r="B890" s="16"/>
      <c r="D890" s="16"/>
    </row>
    <row r="891">
      <c r="A891" s="16"/>
      <c r="B891" s="16"/>
      <c r="D891" s="16"/>
    </row>
    <row r="892">
      <c r="A892" s="16"/>
      <c r="B892" s="16"/>
      <c r="D892" s="16"/>
    </row>
    <row r="893">
      <c r="A893" s="16"/>
      <c r="B893" s="16"/>
      <c r="D893" s="16"/>
    </row>
    <row r="894">
      <c r="A894" s="16"/>
      <c r="B894" s="16"/>
      <c r="D894" s="16"/>
    </row>
    <row r="895">
      <c r="A895" s="16"/>
      <c r="B895" s="16"/>
      <c r="D895" s="16"/>
    </row>
    <row r="896">
      <c r="A896" s="16"/>
      <c r="B896" s="16"/>
      <c r="D896" s="16"/>
    </row>
    <row r="897">
      <c r="A897" s="16"/>
      <c r="B897" s="16"/>
      <c r="D897" s="16"/>
    </row>
    <row r="898">
      <c r="A898" s="16"/>
      <c r="B898" s="16"/>
      <c r="D898" s="16"/>
    </row>
    <row r="899">
      <c r="A899" s="16"/>
      <c r="B899" s="16"/>
      <c r="D899" s="16"/>
    </row>
    <row r="900">
      <c r="A900" s="16"/>
      <c r="B900" s="16"/>
      <c r="D900" s="16"/>
    </row>
    <row r="901">
      <c r="A901" s="16"/>
      <c r="B901" s="16"/>
      <c r="D901" s="16"/>
    </row>
    <row r="902">
      <c r="A902" s="16"/>
      <c r="B902" s="16"/>
      <c r="D902" s="16"/>
    </row>
    <row r="903">
      <c r="A903" s="16"/>
      <c r="B903" s="16"/>
      <c r="D903" s="16"/>
    </row>
    <row r="904">
      <c r="A904" s="16"/>
      <c r="B904" s="16"/>
      <c r="D904" s="16"/>
    </row>
    <row r="905">
      <c r="A905" s="16"/>
      <c r="B905" s="16"/>
      <c r="D905" s="16"/>
    </row>
    <row r="906">
      <c r="A906" s="16"/>
      <c r="B906" s="16"/>
      <c r="D906" s="16"/>
    </row>
    <row r="907">
      <c r="A907" s="16"/>
      <c r="B907" s="16"/>
      <c r="D907" s="16"/>
    </row>
    <row r="908">
      <c r="A908" s="16"/>
      <c r="B908" s="16"/>
      <c r="D908" s="16"/>
    </row>
    <row r="909">
      <c r="A909" s="16"/>
      <c r="B909" s="16"/>
      <c r="D909" s="16"/>
    </row>
    <row r="910">
      <c r="A910" s="16"/>
      <c r="B910" s="16"/>
      <c r="D910" s="16"/>
    </row>
    <row r="911">
      <c r="A911" s="16"/>
      <c r="B911" s="16"/>
      <c r="D911" s="16"/>
    </row>
    <row r="912">
      <c r="A912" s="16"/>
      <c r="B912" s="16"/>
      <c r="D912" s="16"/>
    </row>
    <row r="913">
      <c r="A913" s="16"/>
      <c r="B913" s="16"/>
      <c r="D913" s="16"/>
    </row>
    <row r="914">
      <c r="A914" s="16"/>
      <c r="B914" s="16"/>
      <c r="D914" s="16"/>
    </row>
    <row r="915">
      <c r="A915" s="16"/>
      <c r="B915" s="16"/>
      <c r="D915" s="16"/>
    </row>
    <row r="916">
      <c r="A916" s="16"/>
      <c r="B916" s="16"/>
      <c r="D916" s="16"/>
    </row>
    <row r="917">
      <c r="A917" s="16"/>
      <c r="B917" s="16"/>
      <c r="D917" s="16"/>
    </row>
    <row r="918">
      <c r="A918" s="16"/>
      <c r="B918" s="16"/>
      <c r="D918" s="16"/>
    </row>
    <row r="919">
      <c r="A919" s="16"/>
      <c r="B919" s="16"/>
      <c r="D919" s="16"/>
    </row>
    <row r="920">
      <c r="A920" s="16"/>
      <c r="B920" s="16"/>
      <c r="D920" s="16"/>
    </row>
    <row r="921">
      <c r="A921" s="16"/>
      <c r="B921" s="16"/>
      <c r="D921" s="16"/>
    </row>
    <row r="922">
      <c r="A922" s="16"/>
      <c r="B922" s="16"/>
      <c r="D922" s="16"/>
    </row>
    <row r="923">
      <c r="A923" s="16"/>
      <c r="B923" s="16"/>
      <c r="D923" s="16"/>
    </row>
    <row r="924">
      <c r="A924" s="16"/>
      <c r="B924" s="16"/>
      <c r="D924" s="16"/>
    </row>
    <row r="925">
      <c r="A925" s="16"/>
      <c r="B925" s="16"/>
      <c r="D925" s="16"/>
    </row>
    <row r="926">
      <c r="A926" s="16"/>
      <c r="B926" s="16"/>
      <c r="D926" s="16"/>
    </row>
    <row r="927">
      <c r="A927" s="16"/>
      <c r="B927" s="16"/>
      <c r="D927" s="16"/>
    </row>
    <row r="928">
      <c r="A928" s="16"/>
      <c r="B928" s="16"/>
      <c r="D928" s="16"/>
    </row>
    <row r="929">
      <c r="A929" s="16"/>
      <c r="B929" s="16"/>
      <c r="D929" s="16"/>
    </row>
    <row r="930">
      <c r="A930" s="16"/>
      <c r="B930" s="16"/>
      <c r="D930" s="16"/>
    </row>
    <row r="931">
      <c r="A931" s="16"/>
      <c r="B931" s="16"/>
      <c r="D931" s="16"/>
    </row>
    <row r="932">
      <c r="A932" s="16"/>
      <c r="B932" s="16"/>
      <c r="D932" s="16"/>
    </row>
    <row r="933">
      <c r="A933" s="16"/>
      <c r="B933" s="16"/>
      <c r="D933" s="16"/>
    </row>
    <row r="934">
      <c r="A934" s="16"/>
      <c r="B934" s="16"/>
      <c r="D934" s="16"/>
    </row>
    <row r="935">
      <c r="A935" s="16"/>
      <c r="B935" s="16"/>
      <c r="D935" s="16"/>
    </row>
    <row r="936">
      <c r="A936" s="16"/>
      <c r="B936" s="16"/>
      <c r="D936" s="16"/>
    </row>
    <row r="937">
      <c r="A937" s="16"/>
      <c r="B937" s="16"/>
      <c r="D937" s="16"/>
    </row>
    <row r="938">
      <c r="A938" s="16"/>
      <c r="B938" s="16"/>
      <c r="D938" s="16"/>
    </row>
    <row r="939">
      <c r="A939" s="16"/>
      <c r="B939" s="16"/>
      <c r="D939" s="16"/>
    </row>
    <row r="940">
      <c r="A940" s="16"/>
      <c r="B940" s="16"/>
      <c r="D940" s="16"/>
    </row>
    <row r="941">
      <c r="A941" s="16"/>
      <c r="B941" s="16"/>
      <c r="D941" s="16"/>
    </row>
    <row r="942">
      <c r="A942" s="16"/>
      <c r="B942" s="16"/>
      <c r="D942" s="16"/>
    </row>
    <row r="943">
      <c r="A943" s="16"/>
      <c r="B943" s="16"/>
      <c r="D943" s="16"/>
    </row>
    <row r="944">
      <c r="A944" s="16"/>
      <c r="B944" s="16"/>
      <c r="D944" s="16"/>
    </row>
    <row r="945">
      <c r="A945" s="16"/>
      <c r="B945" s="16"/>
      <c r="D945" s="16"/>
    </row>
    <row r="946">
      <c r="A946" s="16"/>
      <c r="B946" s="16"/>
      <c r="D946" s="16"/>
    </row>
    <row r="947">
      <c r="A947" s="16"/>
      <c r="B947" s="16"/>
      <c r="D947" s="16"/>
    </row>
    <row r="948">
      <c r="A948" s="16"/>
      <c r="B948" s="16"/>
      <c r="D948" s="16"/>
    </row>
    <row r="949">
      <c r="A949" s="16"/>
      <c r="B949" s="16"/>
      <c r="D949" s="16"/>
    </row>
    <row r="950">
      <c r="A950" s="16"/>
      <c r="B950" s="16"/>
      <c r="D950" s="16"/>
    </row>
    <row r="951">
      <c r="A951" s="16"/>
      <c r="B951" s="16"/>
      <c r="D951" s="16"/>
    </row>
    <row r="952">
      <c r="A952" s="16"/>
      <c r="B952" s="16"/>
      <c r="D952" s="16"/>
    </row>
    <row r="953">
      <c r="A953" s="16"/>
      <c r="B953" s="16"/>
      <c r="D953" s="16"/>
    </row>
    <row r="954">
      <c r="A954" s="16"/>
      <c r="B954" s="16"/>
      <c r="D954" s="16"/>
    </row>
    <row r="955">
      <c r="A955" s="16"/>
      <c r="B955" s="16"/>
      <c r="D955" s="16"/>
    </row>
    <row r="956">
      <c r="A956" s="16"/>
      <c r="B956" s="16"/>
      <c r="D956" s="16"/>
    </row>
    <row r="957">
      <c r="A957" s="16"/>
      <c r="B957" s="16"/>
      <c r="D957" s="16"/>
    </row>
    <row r="958">
      <c r="A958" s="16"/>
      <c r="B958" s="16"/>
      <c r="D958" s="16"/>
    </row>
    <row r="959">
      <c r="A959" s="16"/>
      <c r="B959" s="16"/>
      <c r="D959" s="16"/>
    </row>
    <row r="960">
      <c r="A960" s="16"/>
      <c r="B960" s="16"/>
      <c r="D960" s="16"/>
    </row>
    <row r="961">
      <c r="A961" s="16"/>
      <c r="B961" s="16"/>
      <c r="D961" s="16"/>
    </row>
    <row r="962">
      <c r="A962" s="16"/>
      <c r="B962" s="16"/>
      <c r="D962" s="16"/>
    </row>
    <row r="963">
      <c r="A963" s="16"/>
      <c r="B963" s="16"/>
      <c r="D963" s="16"/>
    </row>
    <row r="964">
      <c r="A964" s="16"/>
      <c r="B964" s="16"/>
      <c r="D964" s="16"/>
    </row>
    <row r="965">
      <c r="A965" s="16"/>
      <c r="B965" s="16"/>
      <c r="D965" s="16"/>
    </row>
    <row r="966">
      <c r="A966" s="16"/>
      <c r="B966" s="16"/>
      <c r="D966" s="16"/>
    </row>
    <row r="967">
      <c r="A967" s="16"/>
      <c r="B967" s="16"/>
      <c r="D967" s="16"/>
    </row>
    <row r="968">
      <c r="A968" s="16"/>
      <c r="B968" s="16"/>
      <c r="D968" s="16"/>
    </row>
    <row r="969">
      <c r="A969" s="16"/>
      <c r="B969" s="16"/>
      <c r="D969" s="16"/>
    </row>
    <row r="970">
      <c r="A970" s="16"/>
      <c r="B970" s="16"/>
      <c r="D970" s="16"/>
    </row>
    <row r="971">
      <c r="A971" s="16"/>
      <c r="B971" s="16"/>
      <c r="D971" s="16"/>
    </row>
    <row r="972">
      <c r="A972" s="16"/>
      <c r="B972" s="16"/>
      <c r="D972" s="16"/>
    </row>
    <row r="973">
      <c r="A973" s="16"/>
      <c r="B973" s="16"/>
      <c r="D973" s="16"/>
    </row>
    <row r="974">
      <c r="A974" s="16"/>
      <c r="B974" s="16"/>
      <c r="D974" s="16"/>
    </row>
    <row r="975">
      <c r="A975" s="16"/>
      <c r="B975" s="16"/>
      <c r="D975" s="16"/>
    </row>
    <row r="976">
      <c r="A976" s="16"/>
      <c r="B976" s="16"/>
      <c r="D976" s="16"/>
    </row>
    <row r="977">
      <c r="A977" s="16"/>
      <c r="B977" s="16"/>
      <c r="D977" s="16"/>
    </row>
    <row r="978">
      <c r="A978" s="16"/>
      <c r="B978" s="16"/>
      <c r="D978" s="16"/>
    </row>
    <row r="979">
      <c r="A979" s="16"/>
      <c r="B979" s="16"/>
      <c r="D979" s="16"/>
    </row>
    <row r="980">
      <c r="A980" s="16"/>
      <c r="B980" s="16"/>
      <c r="D980" s="16"/>
    </row>
    <row r="981">
      <c r="A981" s="16"/>
      <c r="B981" s="16"/>
      <c r="D981" s="16"/>
    </row>
    <row r="982">
      <c r="A982" s="16"/>
      <c r="B982" s="16"/>
      <c r="D982" s="16"/>
    </row>
    <row r="983">
      <c r="A983" s="16"/>
      <c r="B983" s="16"/>
      <c r="D983" s="16"/>
    </row>
    <row r="984">
      <c r="A984" s="16"/>
      <c r="B984" s="16"/>
      <c r="D984" s="16"/>
    </row>
    <row r="985">
      <c r="A985" s="16"/>
      <c r="B985" s="16"/>
      <c r="D985" s="16"/>
    </row>
    <row r="986">
      <c r="A986" s="16"/>
      <c r="B986" s="16"/>
      <c r="D986" s="16"/>
    </row>
    <row r="987">
      <c r="A987" s="16"/>
      <c r="B987" s="16"/>
      <c r="D987" s="16"/>
    </row>
    <row r="988">
      <c r="A988" s="16"/>
      <c r="B988" s="16"/>
      <c r="D988" s="16"/>
    </row>
    <row r="989">
      <c r="A989" s="16"/>
      <c r="B989" s="16"/>
      <c r="D989" s="16"/>
    </row>
    <row r="990">
      <c r="A990" s="16"/>
      <c r="B990" s="16"/>
      <c r="D990" s="16"/>
    </row>
    <row r="991">
      <c r="A991" s="16"/>
      <c r="B991" s="16"/>
      <c r="D991" s="16"/>
    </row>
    <row r="992">
      <c r="A992" s="16"/>
      <c r="B992" s="16"/>
      <c r="D992" s="16"/>
    </row>
    <row r="993">
      <c r="A993" s="16"/>
      <c r="B993" s="16"/>
      <c r="D993" s="16"/>
    </row>
    <row r="994">
      <c r="A994" s="16"/>
      <c r="B994" s="16"/>
      <c r="D994" s="16"/>
    </row>
    <row r="995">
      <c r="A995" s="16"/>
      <c r="B995" s="16"/>
      <c r="D995" s="16"/>
    </row>
    <row r="996">
      <c r="A996" s="16"/>
      <c r="B996" s="16"/>
      <c r="D996" s="16"/>
    </row>
    <row r="997">
      <c r="A997" s="16"/>
      <c r="B997" s="16"/>
      <c r="D997" s="16"/>
    </row>
    <row r="998">
      <c r="A998" s="16"/>
      <c r="B998" s="16"/>
      <c r="D998" s="16"/>
    </row>
    <row r="999">
      <c r="A999" s="16"/>
      <c r="B999" s="16"/>
      <c r="D999" s="16"/>
    </row>
    <row r="1000">
      <c r="A1000" s="16"/>
      <c r="B1000" s="16"/>
      <c r="D1000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3.13"/>
  </cols>
  <sheetData>
    <row r="1">
      <c r="A1" s="16" t="s">
        <v>0</v>
      </c>
      <c r="B1" s="16" t="s">
        <v>542</v>
      </c>
      <c r="C1" s="16" t="s">
        <v>543</v>
      </c>
      <c r="D1" s="1" t="s">
        <v>0</v>
      </c>
      <c r="E1" s="1" t="s">
        <v>1</v>
      </c>
      <c r="F1" s="1" t="s">
        <v>2</v>
      </c>
      <c r="G1" s="1" t="s">
        <v>632</v>
      </c>
    </row>
    <row r="2">
      <c r="A2" s="16" t="s">
        <v>551</v>
      </c>
      <c r="B2" s="16" t="s">
        <v>9</v>
      </c>
      <c r="C2" s="17">
        <v>127544.0</v>
      </c>
      <c r="D2" s="1" t="s">
        <v>8</v>
      </c>
      <c r="E2" s="1" t="s">
        <v>9</v>
      </c>
      <c r="F2" s="1" t="s">
        <v>10</v>
      </c>
      <c r="G2" s="18">
        <v>47556.0</v>
      </c>
    </row>
    <row r="3">
      <c r="A3" s="16" t="s">
        <v>551</v>
      </c>
      <c r="B3" s="16" t="s">
        <v>11</v>
      </c>
      <c r="C3" s="17">
        <v>54573.0</v>
      </c>
      <c r="D3" s="1" t="s">
        <v>8</v>
      </c>
      <c r="E3" s="1" t="s">
        <v>11</v>
      </c>
      <c r="F3" s="1" t="s">
        <v>12</v>
      </c>
      <c r="G3" s="18">
        <v>74764.0</v>
      </c>
    </row>
    <row r="4">
      <c r="A4" s="16" t="s">
        <v>551</v>
      </c>
      <c r="B4" s="16" t="s">
        <v>13</v>
      </c>
      <c r="C4" s="17">
        <v>52451.0</v>
      </c>
      <c r="D4" s="1" t="s">
        <v>8</v>
      </c>
      <c r="E4" s="1" t="s">
        <v>13</v>
      </c>
      <c r="F4" s="1" t="s">
        <v>14</v>
      </c>
      <c r="G4" s="18">
        <v>52343.0</v>
      </c>
    </row>
    <row r="5">
      <c r="A5" s="16" t="s">
        <v>551</v>
      </c>
      <c r="B5" s="16" t="s">
        <v>15</v>
      </c>
      <c r="C5" s="17">
        <v>50379.0</v>
      </c>
      <c r="D5" s="1" t="s">
        <v>8</v>
      </c>
      <c r="E5" s="1" t="s">
        <v>15</v>
      </c>
      <c r="F5" s="1" t="s">
        <v>16</v>
      </c>
      <c r="G5" s="18">
        <v>44319.0</v>
      </c>
    </row>
    <row r="6">
      <c r="A6" s="16" t="s">
        <v>551</v>
      </c>
      <c r="B6" s="16" t="s">
        <v>17</v>
      </c>
      <c r="C6" s="17">
        <v>30250.0</v>
      </c>
      <c r="D6" s="1" t="s">
        <v>8</v>
      </c>
      <c r="E6" s="1" t="s">
        <v>17</v>
      </c>
      <c r="F6" s="1" t="s">
        <v>18</v>
      </c>
      <c r="G6" s="18">
        <v>49526.0</v>
      </c>
    </row>
    <row r="7">
      <c r="A7" s="16" t="s">
        <v>551</v>
      </c>
      <c r="B7" s="16" t="s">
        <v>19</v>
      </c>
      <c r="C7" s="17">
        <v>90169.0</v>
      </c>
      <c r="D7" s="1" t="s">
        <v>8</v>
      </c>
      <c r="E7" s="1" t="s">
        <v>19</v>
      </c>
      <c r="F7" s="1" t="s">
        <v>20</v>
      </c>
      <c r="G7" s="18">
        <v>42068.0</v>
      </c>
    </row>
    <row r="8">
      <c r="A8" s="16" t="s">
        <v>551</v>
      </c>
      <c r="B8" s="16" t="s">
        <v>21</v>
      </c>
      <c r="C8" s="17">
        <v>49901.0</v>
      </c>
      <c r="D8" s="1" t="s">
        <v>8</v>
      </c>
      <c r="E8" s="1" t="s">
        <v>21</v>
      </c>
      <c r="F8" s="1" t="s">
        <v>22</v>
      </c>
      <c r="G8" s="18">
        <v>55841.0</v>
      </c>
    </row>
    <row r="9">
      <c r="A9" s="16" t="s">
        <v>551</v>
      </c>
      <c r="B9" s="16" t="s">
        <v>23</v>
      </c>
      <c r="C9" s="17">
        <v>45512.0</v>
      </c>
      <c r="D9" s="1" t="s">
        <v>8</v>
      </c>
      <c r="E9" s="1" t="s">
        <v>23</v>
      </c>
      <c r="F9" s="1" t="s">
        <v>24</v>
      </c>
      <c r="G9" s="18">
        <v>54042.0</v>
      </c>
    </row>
    <row r="10">
      <c r="A10" s="16" t="s">
        <v>551</v>
      </c>
      <c r="B10" s="16" t="s">
        <v>25</v>
      </c>
      <c r="C10" s="17">
        <v>35361.0</v>
      </c>
      <c r="D10" s="1" t="s">
        <v>8</v>
      </c>
      <c r="E10" s="1" t="s">
        <v>25</v>
      </c>
      <c r="F10" s="1" t="s">
        <v>26</v>
      </c>
      <c r="G10" s="18">
        <v>33598.0</v>
      </c>
    </row>
    <row r="11">
      <c r="A11" s="16" t="s">
        <v>551</v>
      </c>
      <c r="B11" s="16" t="s">
        <v>27</v>
      </c>
      <c r="C11" s="17">
        <v>40439.0</v>
      </c>
      <c r="D11" s="1" t="s">
        <v>8</v>
      </c>
      <c r="E11" s="1" t="s">
        <v>27</v>
      </c>
      <c r="F11" s="1" t="s">
        <v>28</v>
      </c>
      <c r="G11" s="18">
        <v>42724.0</v>
      </c>
    </row>
    <row r="12">
      <c r="A12" s="16" t="s">
        <v>551</v>
      </c>
      <c r="B12" s="16" t="s">
        <v>29</v>
      </c>
      <c r="C12" s="17">
        <v>28812.0</v>
      </c>
      <c r="D12" s="1" t="s">
        <v>8</v>
      </c>
      <c r="E12" s="1" t="s">
        <v>29</v>
      </c>
      <c r="F12" s="1" t="s">
        <v>30</v>
      </c>
      <c r="G12" s="18">
        <v>31586.0</v>
      </c>
    </row>
    <row r="13">
      <c r="A13" s="16" t="s">
        <v>551</v>
      </c>
      <c r="B13" s="16" t="s">
        <v>552</v>
      </c>
      <c r="C13" s="17">
        <v>38176.0</v>
      </c>
      <c r="D13" s="1" t="s">
        <v>8</v>
      </c>
      <c r="E13" s="1" t="s">
        <v>31</v>
      </c>
      <c r="F13" s="4" t="s">
        <v>32</v>
      </c>
      <c r="G13" s="18">
        <v>51996.0</v>
      </c>
    </row>
    <row r="14">
      <c r="A14" s="16" t="s">
        <v>551</v>
      </c>
      <c r="B14" s="16" t="s">
        <v>33</v>
      </c>
      <c r="C14" s="17">
        <v>41148.0</v>
      </c>
      <c r="D14" s="1" t="s">
        <v>8</v>
      </c>
      <c r="E14" s="1" t="s">
        <v>33</v>
      </c>
      <c r="F14" s="1" t="s">
        <v>34</v>
      </c>
      <c r="G14" s="18">
        <v>44387.0</v>
      </c>
    </row>
    <row r="15">
      <c r="A15" s="16" t="s">
        <v>551</v>
      </c>
      <c r="B15" s="16" t="s">
        <v>35</v>
      </c>
      <c r="C15" s="17">
        <v>34640.0</v>
      </c>
      <c r="D15" s="1" t="s">
        <v>8</v>
      </c>
      <c r="E15" s="1" t="s">
        <v>35</v>
      </c>
      <c r="F15" s="1" t="s">
        <v>36</v>
      </c>
      <c r="G15" s="18">
        <v>49297.0</v>
      </c>
    </row>
    <row r="16">
      <c r="A16" s="16" t="s">
        <v>551</v>
      </c>
      <c r="B16" s="16" t="s">
        <v>37</v>
      </c>
      <c r="C16" s="17">
        <v>27540.0</v>
      </c>
      <c r="D16" s="1" t="s">
        <v>8</v>
      </c>
      <c r="E16" s="1" t="s">
        <v>37</v>
      </c>
      <c r="F16" s="1" t="s">
        <v>38</v>
      </c>
      <c r="G16" s="18">
        <v>45336.0</v>
      </c>
    </row>
    <row r="17">
      <c r="A17" s="16" t="s">
        <v>551</v>
      </c>
      <c r="B17" s="16" t="s">
        <v>39</v>
      </c>
      <c r="C17" s="17">
        <v>29035.0</v>
      </c>
      <c r="D17" s="1" t="s">
        <v>8</v>
      </c>
      <c r="E17" s="1" t="s">
        <v>39</v>
      </c>
      <c r="F17" s="1" t="s">
        <v>40</v>
      </c>
      <c r="G17" s="18">
        <v>28033.0</v>
      </c>
    </row>
    <row r="18">
      <c r="A18" s="16" t="s">
        <v>551</v>
      </c>
      <c r="B18" s="16" t="s">
        <v>41</v>
      </c>
      <c r="C18" s="17">
        <v>85769.0</v>
      </c>
      <c r="D18" s="1" t="s">
        <v>8</v>
      </c>
      <c r="E18" s="1" t="s">
        <v>41</v>
      </c>
      <c r="F18" s="1" t="s">
        <v>42</v>
      </c>
      <c r="G18" s="18">
        <v>42383.0</v>
      </c>
    </row>
    <row r="19">
      <c r="A19" s="16" t="s">
        <v>551</v>
      </c>
      <c r="B19" s="16" t="s">
        <v>43</v>
      </c>
      <c r="C19" s="17">
        <v>65357.0</v>
      </c>
      <c r="D19" s="1" t="s">
        <v>8</v>
      </c>
      <c r="E19" s="1" t="s">
        <v>43</v>
      </c>
      <c r="F19" s="1" t="s">
        <v>44</v>
      </c>
      <c r="G19" s="18">
        <v>63589.0</v>
      </c>
    </row>
    <row r="20">
      <c r="A20" s="16" t="s">
        <v>551</v>
      </c>
      <c r="B20" s="16" t="s">
        <v>45</v>
      </c>
      <c r="C20" s="17">
        <v>16120.0</v>
      </c>
      <c r="D20" s="1" t="s">
        <v>8</v>
      </c>
      <c r="E20" s="1" t="s">
        <v>45</v>
      </c>
      <c r="F20" s="1" t="s">
        <v>46</v>
      </c>
      <c r="G20" s="18">
        <v>17274.0</v>
      </c>
    </row>
    <row r="21">
      <c r="A21" s="16" t="s">
        <v>551</v>
      </c>
      <c r="B21" s="16" t="s">
        <v>47</v>
      </c>
      <c r="C21" s="17">
        <v>37303.0</v>
      </c>
      <c r="D21" s="1" t="s">
        <v>8</v>
      </c>
      <c r="E21" s="1" t="s">
        <v>47</v>
      </c>
      <c r="F21" s="1" t="s">
        <v>48</v>
      </c>
      <c r="G21" s="18">
        <v>52866.0</v>
      </c>
    </row>
    <row r="22">
      <c r="A22" s="16" t="s">
        <v>551</v>
      </c>
      <c r="B22" s="16" t="s">
        <v>49</v>
      </c>
      <c r="C22" s="17">
        <v>42531.0</v>
      </c>
      <c r="D22" s="1" t="s">
        <v>8</v>
      </c>
      <c r="E22" s="1" t="s">
        <v>49</v>
      </c>
      <c r="F22" s="1" t="s">
        <v>50</v>
      </c>
      <c r="G22" s="18">
        <v>98501.0</v>
      </c>
    </row>
    <row r="23">
      <c r="A23" s="16" t="s">
        <v>546</v>
      </c>
      <c r="B23" s="16" t="s">
        <v>52</v>
      </c>
      <c r="C23" s="17">
        <v>123378.0</v>
      </c>
      <c r="D23" s="1" t="s">
        <v>51</v>
      </c>
      <c r="E23" s="1" t="s">
        <v>52</v>
      </c>
      <c r="F23" s="1" t="s">
        <v>53</v>
      </c>
      <c r="G23" s="18">
        <v>99200.0</v>
      </c>
    </row>
    <row r="24">
      <c r="A24" s="16" t="s">
        <v>546</v>
      </c>
      <c r="B24" s="16" t="s">
        <v>51</v>
      </c>
      <c r="C24" s="17">
        <v>139719.0</v>
      </c>
      <c r="D24" s="1" t="s">
        <v>51</v>
      </c>
      <c r="E24" s="1" t="s">
        <v>51</v>
      </c>
      <c r="F24" s="1" t="s">
        <v>54</v>
      </c>
      <c r="G24" s="18">
        <v>224550.0</v>
      </c>
    </row>
    <row r="25">
      <c r="A25" s="16" t="s">
        <v>546</v>
      </c>
      <c r="B25" s="16" t="s">
        <v>55</v>
      </c>
      <c r="C25" s="17">
        <v>29145.0</v>
      </c>
      <c r="D25" s="1" t="s">
        <v>51</v>
      </c>
      <c r="E25" s="1" t="s">
        <v>55</v>
      </c>
      <c r="F25" s="1" t="s">
        <v>56</v>
      </c>
      <c r="G25" s="18">
        <v>16902.0</v>
      </c>
    </row>
    <row r="26">
      <c r="A26" s="16" t="s">
        <v>546</v>
      </c>
      <c r="B26" s="16" t="s">
        <v>547</v>
      </c>
      <c r="C26" s="17">
        <v>57708.0</v>
      </c>
      <c r="D26" s="1" t="s">
        <v>51</v>
      </c>
      <c r="E26" s="1" t="s">
        <v>57</v>
      </c>
      <c r="F26" s="4" t="s">
        <v>58</v>
      </c>
      <c r="G26" s="18">
        <v>43511.0</v>
      </c>
    </row>
    <row r="27">
      <c r="A27" s="16" t="s">
        <v>546</v>
      </c>
      <c r="B27" s="16" t="s">
        <v>59</v>
      </c>
      <c r="C27" s="17">
        <v>78108.0</v>
      </c>
      <c r="D27" s="1" t="s">
        <v>51</v>
      </c>
      <c r="E27" s="1" t="s">
        <v>59</v>
      </c>
      <c r="F27" s="1" t="s">
        <v>60</v>
      </c>
      <c r="G27" s="18">
        <v>93304.0</v>
      </c>
    </row>
    <row r="28">
      <c r="A28" s="16" t="s">
        <v>546</v>
      </c>
      <c r="B28" s="16" t="s">
        <v>61</v>
      </c>
      <c r="C28" s="17">
        <v>33010.0</v>
      </c>
      <c r="D28" s="1" t="s">
        <v>51</v>
      </c>
      <c r="E28" s="1" t="s">
        <v>61</v>
      </c>
      <c r="F28" s="1" t="s">
        <v>62</v>
      </c>
      <c r="G28" s="18">
        <v>20157.0</v>
      </c>
    </row>
    <row r="29">
      <c r="A29" s="16" t="s">
        <v>546</v>
      </c>
      <c r="B29" s="16" t="s">
        <v>63</v>
      </c>
      <c r="C29" s="17">
        <v>91345.0</v>
      </c>
      <c r="D29" s="1" t="s">
        <v>51</v>
      </c>
      <c r="E29" s="1" t="s">
        <v>63</v>
      </c>
      <c r="F29" s="1" t="s">
        <v>64</v>
      </c>
      <c r="G29" s="18">
        <v>86907.0</v>
      </c>
    </row>
    <row r="30">
      <c r="A30" s="16" t="s">
        <v>546</v>
      </c>
      <c r="B30" s="16" t="s">
        <v>65</v>
      </c>
      <c r="C30" s="17">
        <v>109615.0</v>
      </c>
      <c r="D30" s="1" t="s">
        <v>51</v>
      </c>
      <c r="E30" s="1" t="s">
        <v>65</v>
      </c>
      <c r="F30" s="1" t="s">
        <v>66</v>
      </c>
      <c r="G30" s="18">
        <v>144153.0</v>
      </c>
    </row>
    <row r="31">
      <c r="A31" s="16" t="s">
        <v>546</v>
      </c>
      <c r="B31" s="16" t="s">
        <v>67</v>
      </c>
      <c r="C31" s="17">
        <v>49021.0</v>
      </c>
      <c r="D31" s="1" t="s">
        <v>51</v>
      </c>
      <c r="E31" s="1" t="s">
        <v>67</v>
      </c>
      <c r="F31" s="1" t="s">
        <v>68</v>
      </c>
      <c r="G31" s="18">
        <v>54536.0</v>
      </c>
    </row>
    <row r="32">
      <c r="A32" s="16" t="s">
        <v>546</v>
      </c>
      <c r="B32" s="16" t="s">
        <v>548</v>
      </c>
      <c r="C32" s="17">
        <v>78723.0</v>
      </c>
      <c r="D32" s="1" t="s">
        <v>51</v>
      </c>
      <c r="E32" s="1" t="s">
        <v>69</v>
      </c>
      <c r="F32" s="4" t="s">
        <v>70</v>
      </c>
      <c r="G32" s="18">
        <v>68955.0</v>
      </c>
    </row>
    <row r="33">
      <c r="A33" s="16" t="s">
        <v>546</v>
      </c>
      <c r="B33" s="16" t="s">
        <v>71</v>
      </c>
      <c r="C33" s="17">
        <v>40088.0</v>
      </c>
      <c r="D33" s="1" t="s">
        <v>51</v>
      </c>
      <c r="E33" s="1" t="s">
        <v>71</v>
      </c>
      <c r="F33" s="1" t="s">
        <v>72</v>
      </c>
      <c r="G33" s="18">
        <v>23448.0</v>
      </c>
    </row>
    <row r="34">
      <c r="A34" s="16" t="s">
        <v>546</v>
      </c>
      <c r="B34" s="16" t="s">
        <v>73</v>
      </c>
      <c r="C34" s="17">
        <v>90058.0</v>
      </c>
      <c r="D34" s="1" t="s">
        <v>51</v>
      </c>
      <c r="E34" s="1" t="s">
        <v>73</v>
      </c>
      <c r="F34" s="1" t="s">
        <v>74</v>
      </c>
      <c r="G34" s="18">
        <v>113592.0</v>
      </c>
    </row>
    <row r="35">
      <c r="A35" s="16" t="s">
        <v>546</v>
      </c>
      <c r="B35" s="16" t="s">
        <v>75</v>
      </c>
      <c r="C35" s="17">
        <v>54778.0</v>
      </c>
      <c r="D35" s="1" t="s">
        <v>51</v>
      </c>
      <c r="E35" s="1" t="s">
        <v>75</v>
      </c>
      <c r="F35" s="1" t="s">
        <v>76</v>
      </c>
      <c r="G35" s="18">
        <v>51157.0</v>
      </c>
    </row>
    <row r="36">
      <c r="A36" s="16" t="s">
        <v>546</v>
      </c>
      <c r="B36" s="16" t="s">
        <v>77</v>
      </c>
      <c r="C36" s="17">
        <v>100418.0</v>
      </c>
      <c r="D36" s="1" t="s">
        <v>51</v>
      </c>
      <c r="E36" s="1" t="s">
        <v>77</v>
      </c>
      <c r="F36" s="1" t="s">
        <v>78</v>
      </c>
      <c r="G36" s="18">
        <v>80088.0</v>
      </c>
    </row>
    <row r="37">
      <c r="A37" s="16" t="s">
        <v>546</v>
      </c>
      <c r="B37" s="16" t="s">
        <v>79</v>
      </c>
      <c r="C37" s="17">
        <v>141290.0</v>
      </c>
      <c r="D37" s="1" t="s">
        <v>51</v>
      </c>
      <c r="E37" s="1" t="s">
        <v>79</v>
      </c>
      <c r="F37" s="1" t="s">
        <v>80</v>
      </c>
      <c r="G37" s="18">
        <v>133433.0</v>
      </c>
    </row>
    <row r="38">
      <c r="A38" s="16" t="s">
        <v>546</v>
      </c>
      <c r="B38" s="16" t="s">
        <v>81</v>
      </c>
      <c r="C38" s="17">
        <v>73496.0</v>
      </c>
      <c r="D38" s="1" t="s">
        <v>51</v>
      </c>
      <c r="E38" s="1" t="s">
        <v>81</v>
      </c>
      <c r="F38" s="1" t="s">
        <v>82</v>
      </c>
      <c r="G38" s="18">
        <v>69957.0</v>
      </c>
    </row>
    <row r="39">
      <c r="A39" s="16" t="s">
        <v>546</v>
      </c>
      <c r="B39" s="16" t="s">
        <v>550</v>
      </c>
      <c r="C39" s="17">
        <v>77021.0</v>
      </c>
      <c r="D39" s="1" t="s">
        <v>51</v>
      </c>
      <c r="E39" s="1" t="s">
        <v>83</v>
      </c>
      <c r="F39" s="4" t="s">
        <v>84</v>
      </c>
      <c r="G39" s="18">
        <v>62706.0</v>
      </c>
    </row>
    <row r="40">
      <c r="A40" s="16" t="s">
        <v>546</v>
      </c>
      <c r="B40" s="16" t="s">
        <v>85</v>
      </c>
      <c r="C40" s="17">
        <v>117073.0</v>
      </c>
      <c r="D40" s="1" t="s">
        <v>51</v>
      </c>
      <c r="E40" s="1" t="s">
        <v>85</v>
      </c>
      <c r="F40" s="1" t="s">
        <v>86</v>
      </c>
      <c r="G40" s="18">
        <v>149327.0</v>
      </c>
    </row>
    <row r="41">
      <c r="A41" s="16" t="s">
        <v>546</v>
      </c>
      <c r="B41" s="16" t="s">
        <v>87</v>
      </c>
      <c r="C41" s="17">
        <v>42076.0</v>
      </c>
      <c r="D41" s="1" t="s">
        <v>51</v>
      </c>
      <c r="E41" s="1" t="s">
        <v>87</v>
      </c>
      <c r="F41" s="1" t="s">
        <v>88</v>
      </c>
      <c r="G41" s="18">
        <v>25468.0</v>
      </c>
    </row>
    <row r="42">
      <c r="A42" s="16" t="s">
        <v>546</v>
      </c>
      <c r="B42" s="16" t="s">
        <v>89</v>
      </c>
      <c r="C42" s="17">
        <v>44945.0</v>
      </c>
      <c r="D42" s="1" t="s">
        <v>51</v>
      </c>
      <c r="E42" s="1" t="s">
        <v>89</v>
      </c>
      <c r="F42" s="1" t="s">
        <v>90</v>
      </c>
      <c r="G42" s="18">
        <v>79629.0</v>
      </c>
    </row>
    <row r="43">
      <c r="A43" s="16" t="s">
        <v>553</v>
      </c>
      <c r="B43" s="16" t="s">
        <v>92</v>
      </c>
      <c r="C43" s="17">
        <v>211151.0</v>
      </c>
      <c r="D43" s="1" t="s">
        <v>91</v>
      </c>
      <c r="E43" s="1" t="s">
        <v>92</v>
      </c>
      <c r="F43" s="1" t="s">
        <v>93</v>
      </c>
      <c r="G43" s="18">
        <v>178416.0</v>
      </c>
    </row>
    <row r="44">
      <c r="A44" s="16" t="s">
        <v>553</v>
      </c>
      <c r="B44" s="16" t="s">
        <v>94</v>
      </c>
      <c r="C44" s="17">
        <v>70906.0</v>
      </c>
      <c r="D44" s="1" t="s">
        <v>91</v>
      </c>
      <c r="E44" s="1" t="s">
        <v>94</v>
      </c>
      <c r="F44" s="1" t="s">
        <v>95</v>
      </c>
      <c r="G44" s="18">
        <v>72372.0</v>
      </c>
    </row>
    <row r="45">
      <c r="A45" s="16" t="s">
        <v>553</v>
      </c>
      <c r="B45" s="16" t="s">
        <v>96</v>
      </c>
      <c r="C45" s="17">
        <v>96944.0</v>
      </c>
      <c r="D45" s="1" t="s">
        <v>91</v>
      </c>
      <c r="E45" s="1" t="s">
        <v>96</v>
      </c>
      <c r="F45" s="1" t="s">
        <v>97</v>
      </c>
      <c r="G45" s="18">
        <v>41378.0</v>
      </c>
    </row>
    <row r="46">
      <c r="A46" s="16" t="s">
        <v>553</v>
      </c>
      <c r="B46" s="16" t="s">
        <v>98</v>
      </c>
      <c r="C46" s="17">
        <v>56296.0</v>
      </c>
      <c r="D46" s="1" t="s">
        <v>91</v>
      </c>
      <c r="E46" s="1" t="s">
        <v>98</v>
      </c>
      <c r="F46" s="1" t="s">
        <v>99</v>
      </c>
      <c r="G46" s="18">
        <v>58064.0</v>
      </c>
    </row>
    <row r="47">
      <c r="A47" s="16" t="s">
        <v>553</v>
      </c>
      <c r="B47" s="16" t="s">
        <v>100</v>
      </c>
      <c r="C47" s="17">
        <v>93937.0</v>
      </c>
      <c r="D47" s="1" t="s">
        <v>91</v>
      </c>
      <c r="E47" s="1" t="s">
        <v>100</v>
      </c>
      <c r="F47" s="1" t="s">
        <v>101</v>
      </c>
      <c r="G47" s="18">
        <v>64452.0</v>
      </c>
    </row>
    <row r="48">
      <c r="A48" s="16" t="s">
        <v>553</v>
      </c>
      <c r="B48" s="16" t="s">
        <v>91</v>
      </c>
      <c r="C48" s="17">
        <v>396.0</v>
      </c>
      <c r="D48" s="1" t="s">
        <v>91</v>
      </c>
      <c r="E48" s="1" t="s">
        <v>91</v>
      </c>
      <c r="F48" s="1" t="s">
        <v>102</v>
      </c>
      <c r="G48" s="18">
        <v>83383.0</v>
      </c>
    </row>
    <row r="49">
      <c r="A49" s="16" t="s">
        <v>553</v>
      </c>
      <c r="B49" s="16" t="s">
        <v>103</v>
      </c>
      <c r="C49" s="17">
        <v>58286.0</v>
      </c>
      <c r="D49" s="1" t="s">
        <v>91</v>
      </c>
      <c r="E49" s="1" t="s">
        <v>103</v>
      </c>
      <c r="F49" s="1" t="s">
        <v>104</v>
      </c>
      <c r="G49" s="18">
        <v>50191.0</v>
      </c>
    </row>
    <row r="50">
      <c r="A50" s="16" t="s">
        <v>553</v>
      </c>
      <c r="B50" s="16" t="s">
        <v>105</v>
      </c>
      <c r="C50" s="17">
        <v>31336.0</v>
      </c>
      <c r="D50" s="1" t="s">
        <v>91</v>
      </c>
      <c r="E50" s="1" t="s">
        <v>105</v>
      </c>
      <c r="F50" s="1" t="s">
        <v>106</v>
      </c>
      <c r="G50" s="18">
        <v>61637.0</v>
      </c>
    </row>
    <row r="51">
      <c r="A51" s="16" t="s">
        <v>553</v>
      </c>
      <c r="B51" s="16" t="s">
        <v>107</v>
      </c>
      <c r="C51" s="17">
        <v>40633.0</v>
      </c>
      <c r="D51" s="1" t="s">
        <v>91</v>
      </c>
      <c r="E51" s="1" t="s">
        <v>107</v>
      </c>
      <c r="F51" s="1" t="s">
        <v>108</v>
      </c>
      <c r="G51" s="18">
        <v>27846.0</v>
      </c>
    </row>
    <row r="52">
      <c r="A52" s="16" t="s">
        <v>553</v>
      </c>
      <c r="B52" s="16" t="s">
        <v>554</v>
      </c>
      <c r="C52" s="17">
        <v>54874.0</v>
      </c>
      <c r="D52" s="1" t="s">
        <v>91</v>
      </c>
      <c r="E52" s="1" t="s">
        <v>109</v>
      </c>
      <c r="F52" s="1" t="s">
        <v>110</v>
      </c>
      <c r="G52" s="18">
        <v>25972.0</v>
      </c>
    </row>
    <row r="53">
      <c r="A53" s="16" t="s">
        <v>553</v>
      </c>
      <c r="B53" s="16" t="s">
        <v>555</v>
      </c>
      <c r="C53" s="17">
        <v>66843.0</v>
      </c>
      <c r="D53" s="1" t="s">
        <v>91</v>
      </c>
      <c r="E53" s="1" t="s">
        <v>111</v>
      </c>
      <c r="F53" s="1" t="s">
        <v>112</v>
      </c>
      <c r="G53" s="18">
        <v>123603.0</v>
      </c>
    </row>
    <row r="54">
      <c r="A54" s="16" t="s">
        <v>633</v>
      </c>
      <c r="B54" s="16" t="s">
        <v>114</v>
      </c>
      <c r="C54" s="17">
        <v>46302.0</v>
      </c>
      <c r="D54" s="1" t="s">
        <v>113</v>
      </c>
      <c r="E54" s="1" t="s">
        <v>114</v>
      </c>
      <c r="F54" s="1" t="s">
        <v>115</v>
      </c>
      <c r="G54" s="18">
        <v>30946.0</v>
      </c>
    </row>
    <row r="55">
      <c r="A55" s="16" t="s">
        <v>633</v>
      </c>
      <c r="B55" s="16" t="s">
        <v>116</v>
      </c>
      <c r="C55" s="17">
        <v>66164.0</v>
      </c>
      <c r="D55" s="1" t="s">
        <v>113</v>
      </c>
      <c r="E55" s="1" t="s">
        <v>116</v>
      </c>
      <c r="F55" s="1" t="s">
        <v>117</v>
      </c>
      <c r="G55" s="18">
        <v>68448.0</v>
      </c>
    </row>
    <row r="56">
      <c r="A56" s="16" t="s">
        <v>633</v>
      </c>
      <c r="B56" s="16" t="s">
        <v>120</v>
      </c>
      <c r="C56" s="17">
        <v>33550.0</v>
      </c>
      <c r="D56" s="1" t="s">
        <v>113</v>
      </c>
      <c r="E56" s="1" t="s">
        <v>118</v>
      </c>
      <c r="F56" s="1" t="s">
        <v>119</v>
      </c>
      <c r="G56" s="18">
        <v>114332.0</v>
      </c>
    </row>
    <row r="57">
      <c r="A57" s="16" t="s">
        <v>633</v>
      </c>
      <c r="B57" s="16" t="s">
        <v>118</v>
      </c>
      <c r="C57" s="17">
        <v>89754.0</v>
      </c>
      <c r="D57" s="1" t="s">
        <v>113</v>
      </c>
      <c r="E57" s="1" t="s">
        <v>120</v>
      </c>
      <c r="F57" s="1" t="s">
        <v>121</v>
      </c>
      <c r="G57" s="18">
        <v>37827.0</v>
      </c>
    </row>
    <row r="58">
      <c r="A58" s="16" t="s">
        <v>633</v>
      </c>
      <c r="B58" s="16" t="s">
        <v>122</v>
      </c>
      <c r="C58" s="17">
        <v>27818.0</v>
      </c>
      <c r="D58" s="1" t="s">
        <v>113</v>
      </c>
      <c r="E58" s="1" t="s">
        <v>122</v>
      </c>
      <c r="F58" s="1" t="s">
        <v>123</v>
      </c>
      <c r="G58" s="18">
        <v>34647.0</v>
      </c>
    </row>
    <row r="59">
      <c r="A59" s="16" t="s">
        <v>633</v>
      </c>
      <c r="B59" s="16" t="s">
        <v>124</v>
      </c>
      <c r="C59" s="17">
        <v>93135.0</v>
      </c>
      <c r="D59" s="1" t="s">
        <v>113</v>
      </c>
      <c r="E59" s="1" t="s">
        <v>124</v>
      </c>
      <c r="F59" s="1" t="s">
        <v>125</v>
      </c>
      <c r="G59" s="18">
        <v>108475.0</v>
      </c>
    </row>
    <row r="60">
      <c r="A60" s="16" t="s">
        <v>633</v>
      </c>
      <c r="B60" s="16" t="s">
        <v>126</v>
      </c>
      <c r="C60" s="17">
        <v>34068.0</v>
      </c>
      <c r="D60" s="1" t="s">
        <v>113</v>
      </c>
      <c r="E60" s="1" t="s">
        <v>126</v>
      </c>
      <c r="F60" s="1" t="s">
        <v>127</v>
      </c>
      <c r="G60" s="18">
        <v>22661.0</v>
      </c>
    </row>
    <row r="61">
      <c r="A61" s="16" t="s">
        <v>633</v>
      </c>
      <c r="B61" s="16" t="s">
        <v>128</v>
      </c>
      <c r="C61" s="17">
        <v>42987.0</v>
      </c>
      <c r="D61" s="1" t="s">
        <v>113</v>
      </c>
      <c r="E61" s="1" t="s">
        <v>128</v>
      </c>
      <c r="F61" s="1" t="s">
        <v>129</v>
      </c>
      <c r="G61" s="18">
        <v>66047.0</v>
      </c>
    </row>
    <row r="62">
      <c r="A62" s="16" t="s">
        <v>633</v>
      </c>
      <c r="B62" s="16" t="s">
        <v>130</v>
      </c>
      <c r="C62" s="17">
        <v>44102.0</v>
      </c>
      <c r="D62" s="1" t="s">
        <v>113</v>
      </c>
      <c r="E62" s="1" t="s">
        <v>130</v>
      </c>
      <c r="F62" s="1" t="s">
        <v>131</v>
      </c>
      <c r="G62" s="18">
        <v>24673.0</v>
      </c>
    </row>
    <row r="63">
      <c r="A63" s="16" t="s">
        <v>633</v>
      </c>
      <c r="B63" s="16" t="s">
        <v>132</v>
      </c>
      <c r="C63" s="17">
        <v>37352.0</v>
      </c>
      <c r="D63" s="1" t="s">
        <v>113</v>
      </c>
      <c r="E63" s="1" t="s">
        <v>132</v>
      </c>
      <c r="F63" s="1" t="s">
        <v>133</v>
      </c>
      <c r="G63" s="18">
        <v>32834.0</v>
      </c>
    </row>
    <row r="64">
      <c r="A64" s="16" t="s">
        <v>633</v>
      </c>
      <c r="B64" s="16" t="s">
        <v>134</v>
      </c>
      <c r="C64" s="17">
        <v>76698.0</v>
      </c>
      <c r="D64" s="1" t="s">
        <v>113</v>
      </c>
      <c r="E64" s="1" t="s">
        <v>134</v>
      </c>
      <c r="F64" s="1" t="s">
        <v>135</v>
      </c>
      <c r="G64" s="18">
        <v>95711.0</v>
      </c>
    </row>
    <row r="65">
      <c r="A65" s="16" t="s">
        <v>633</v>
      </c>
      <c r="B65" s="16" t="s">
        <v>136</v>
      </c>
      <c r="C65" s="17">
        <v>58194.0</v>
      </c>
      <c r="D65" s="1" t="s">
        <v>113</v>
      </c>
      <c r="E65" s="1" t="s">
        <v>136</v>
      </c>
      <c r="F65" s="1" t="s">
        <v>137</v>
      </c>
      <c r="G65" s="18">
        <v>39932.0</v>
      </c>
    </row>
    <row r="66">
      <c r="A66" s="16" t="s">
        <v>633</v>
      </c>
      <c r="B66" s="16" t="s">
        <v>138</v>
      </c>
      <c r="C66" s="17">
        <v>39226.0</v>
      </c>
      <c r="D66" s="1" t="s">
        <v>113</v>
      </c>
      <c r="E66" s="1" t="s">
        <v>138</v>
      </c>
      <c r="F66" s="1" t="s">
        <v>139</v>
      </c>
      <c r="G66" s="18">
        <v>26352.0</v>
      </c>
    </row>
    <row r="67">
      <c r="A67" s="16" t="s">
        <v>633</v>
      </c>
      <c r="B67" s="16" t="s">
        <v>140</v>
      </c>
      <c r="C67" s="17">
        <v>64114.0</v>
      </c>
      <c r="D67" s="1" t="s">
        <v>113</v>
      </c>
      <c r="E67" s="1" t="s">
        <v>140</v>
      </c>
      <c r="F67" s="1" t="s">
        <v>141</v>
      </c>
      <c r="G67" s="18">
        <v>82518.0</v>
      </c>
    </row>
    <row r="68">
      <c r="A68" s="16" t="s">
        <v>633</v>
      </c>
      <c r="B68" s="16" t="s">
        <v>142</v>
      </c>
      <c r="C68" s="17">
        <v>94367.0</v>
      </c>
      <c r="D68" s="1" t="s">
        <v>113</v>
      </c>
      <c r="E68" s="1" t="s">
        <v>142</v>
      </c>
      <c r="F68" s="1" t="s">
        <v>143</v>
      </c>
      <c r="G68" s="18">
        <v>73799.0</v>
      </c>
    </row>
    <row r="69">
      <c r="A69" s="16" t="s">
        <v>633</v>
      </c>
      <c r="B69" s="16" t="s">
        <v>144</v>
      </c>
      <c r="C69" s="17">
        <v>35224.0</v>
      </c>
      <c r="D69" s="1" t="s">
        <v>113</v>
      </c>
      <c r="E69" s="1" t="s">
        <v>144</v>
      </c>
      <c r="F69" s="1" t="s">
        <v>145</v>
      </c>
      <c r="G69" s="18">
        <v>41666.0</v>
      </c>
    </row>
    <row r="70">
      <c r="A70" s="16" t="s">
        <v>633</v>
      </c>
      <c r="B70" s="16" t="s">
        <v>146</v>
      </c>
      <c r="C70" s="17">
        <v>65688.0</v>
      </c>
      <c r="D70" s="1" t="s">
        <v>113</v>
      </c>
      <c r="E70" s="1" t="s">
        <v>146</v>
      </c>
      <c r="F70" s="1" t="s">
        <v>147</v>
      </c>
      <c r="G70" s="18">
        <v>56891.0</v>
      </c>
    </row>
    <row r="71">
      <c r="A71" s="16" t="s">
        <v>633</v>
      </c>
      <c r="B71" s="16" t="s">
        <v>631</v>
      </c>
      <c r="C71" s="17">
        <v>38323.0</v>
      </c>
      <c r="D71" s="1" t="s">
        <v>113</v>
      </c>
      <c r="E71" s="1" t="s">
        <v>148</v>
      </c>
      <c r="F71" s="3" t="s">
        <v>149</v>
      </c>
      <c r="G71" s="18">
        <v>39681.0</v>
      </c>
    </row>
    <row r="72">
      <c r="A72" s="16" t="s">
        <v>633</v>
      </c>
      <c r="B72" s="16" t="s">
        <v>150</v>
      </c>
      <c r="C72" s="17">
        <v>56897.0</v>
      </c>
      <c r="D72" s="1" t="s">
        <v>113</v>
      </c>
      <c r="E72" s="1" t="s">
        <v>150</v>
      </c>
      <c r="F72" s="1" t="s">
        <v>151</v>
      </c>
      <c r="G72" s="18">
        <v>70344.0</v>
      </c>
    </row>
    <row r="73">
      <c r="A73" s="16" t="s">
        <v>633</v>
      </c>
      <c r="B73" s="16" t="s">
        <v>152</v>
      </c>
      <c r="C73" s="17">
        <v>59760.0</v>
      </c>
      <c r="D73" s="1" t="s">
        <v>113</v>
      </c>
      <c r="E73" s="1" t="s">
        <v>152</v>
      </c>
      <c r="F73" s="1" t="s">
        <v>153</v>
      </c>
      <c r="G73" s="18">
        <v>36786.0</v>
      </c>
    </row>
    <row r="74">
      <c r="A74" s="16" t="s">
        <v>633</v>
      </c>
      <c r="B74" s="16" t="s">
        <v>154</v>
      </c>
      <c r="C74" s="17">
        <v>72484.0</v>
      </c>
      <c r="D74" s="1" t="s">
        <v>113</v>
      </c>
      <c r="E74" s="1" t="s">
        <v>154</v>
      </c>
      <c r="F74" s="1" t="s">
        <v>155</v>
      </c>
      <c r="G74" s="18">
        <v>51447.0</v>
      </c>
    </row>
    <row r="75">
      <c r="A75" s="16" t="s">
        <v>633</v>
      </c>
      <c r="B75" s="16" t="s">
        <v>156</v>
      </c>
      <c r="C75" s="17">
        <v>35681.0</v>
      </c>
      <c r="D75" s="1" t="s">
        <v>113</v>
      </c>
      <c r="E75" s="1" t="s">
        <v>156</v>
      </c>
      <c r="F75" s="1" t="s">
        <v>157</v>
      </c>
      <c r="G75" s="18">
        <v>39930.0</v>
      </c>
    </row>
    <row r="76">
      <c r="A76" s="16" t="s">
        <v>633</v>
      </c>
      <c r="B76" s="16" t="s">
        <v>158</v>
      </c>
      <c r="C76" s="17">
        <v>47838.0</v>
      </c>
      <c r="D76" s="1" t="s">
        <v>113</v>
      </c>
      <c r="E76" s="1" t="s">
        <v>158</v>
      </c>
      <c r="F76" s="1" t="s">
        <v>159</v>
      </c>
      <c r="G76" s="18">
        <v>99684.0</v>
      </c>
    </row>
    <row r="77">
      <c r="A77" s="16" t="s">
        <v>633</v>
      </c>
      <c r="B77" s="16" t="s">
        <v>160</v>
      </c>
      <c r="C77" s="17">
        <v>22191.0</v>
      </c>
      <c r="D77" s="1" t="s">
        <v>113</v>
      </c>
      <c r="E77" s="1" t="s">
        <v>160</v>
      </c>
      <c r="F77" s="1" t="s">
        <v>161</v>
      </c>
      <c r="G77" s="18">
        <v>36295.0</v>
      </c>
    </row>
    <row r="78">
      <c r="A78" s="16" t="s">
        <v>633</v>
      </c>
      <c r="B78" s="16" t="s">
        <v>162</v>
      </c>
      <c r="C78" s="17">
        <v>31673.0</v>
      </c>
      <c r="D78" s="1" t="s">
        <v>113</v>
      </c>
      <c r="E78" s="1" t="s">
        <v>162</v>
      </c>
      <c r="F78" s="1" t="s">
        <v>163</v>
      </c>
      <c r="G78" s="18">
        <v>59126.0</v>
      </c>
    </row>
    <row r="79">
      <c r="A79" s="16" t="s">
        <v>633</v>
      </c>
      <c r="B79" s="16" t="s">
        <v>164</v>
      </c>
      <c r="C79" s="17">
        <v>36581.0</v>
      </c>
      <c r="D79" s="1" t="s">
        <v>113</v>
      </c>
      <c r="E79" s="1" t="s">
        <v>164</v>
      </c>
      <c r="F79" s="1" t="s">
        <v>165</v>
      </c>
      <c r="G79" s="18">
        <v>55426.0</v>
      </c>
    </row>
    <row r="80">
      <c r="A80" s="16" t="s">
        <v>633</v>
      </c>
      <c r="B80" s="16" t="s">
        <v>166</v>
      </c>
      <c r="C80" s="17">
        <v>38993.0</v>
      </c>
      <c r="D80" s="1" t="s">
        <v>113</v>
      </c>
      <c r="E80" s="1" t="s">
        <v>166</v>
      </c>
      <c r="F80" s="1" t="s">
        <v>167</v>
      </c>
      <c r="G80" s="18">
        <v>27287.0</v>
      </c>
    </row>
    <row r="81">
      <c r="A81" s="16" t="s">
        <v>544</v>
      </c>
      <c r="B81" s="16" t="s">
        <v>169</v>
      </c>
      <c r="C81" s="17">
        <v>75833.0</v>
      </c>
      <c r="D81" s="1" t="s">
        <v>168</v>
      </c>
      <c r="E81" s="1" t="s">
        <v>169</v>
      </c>
      <c r="F81" s="1" t="s">
        <v>170</v>
      </c>
      <c r="G81" s="18">
        <v>58281.0</v>
      </c>
    </row>
    <row r="82">
      <c r="A82" s="16" t="s">
        <v>544</v>
      </c>
      <c r="B82" s="16" t="s">
        <v>171</v>
      </c>
      <c r="C82" s="17">
        <v>190251.0</v>
      </c>
      <c r="D82" s="1" t="s">
        <v>168</v>
      </c>
      <c r="E82" s="1" t="s">
        <v>171</v>
      </c>
      <c r="F82" s="1" t="s">
        <v>172</v>
      </c>
      <c r="G82" s="18">
        <v>201240.0</v>
      </c>
    </row>
    <row r="83">
      <c r="A83" s="16" t="s">
        <v>544</v>
      </c>
      <c r="B83" s="16" t="s">
        <v>173</v>
      </c>
      <c r="C83" s="17">
        <v>76345.0</v>
      </c>
      <c r="D83" s="1" t="s">
        <v>168</v>
      </c>
      <c r="E83" s="1" t="s">
        <v>173</v>
      </c>
      <c r="F83" s="1" t="s">
        <v>174</v>
      </c>
      <c r="G83" s="18">
        <v>80930.0</v>
      </c>
    </row>
    <row r="84">
      <c r="A84" s="16" t="s">
        <v>544</v>
      </c>
      <c r="B84" s="16" t="s">
        <v>175</v>
      </c>
      <c r="C84" s="17">
        <v>321662.0</v>
      </c>
      <c r="D84" s="1" t="s">
        <v>168</v>
      </c>
      <c r="E84" s="1" t="s">
        <v>175</v>
      </c>
      <c r="F84" s="1" t="s">
        <v>176</v>
      </c>
      <c r="G84" s="18">
        <v>221438.0</v>
      </c>
    </row>
    <row r="85">
      <c r="A85" s="16" t="s">
        <v>544</v>
      </c>
      <c r="B85" s="16" t="s">
        <v>177</v>
      </c>
      <c r="C85" s="17">
        <v>57892.0</v>
      </c>
      <c r="D85" s="1" t="s">
        <v>168</v>
      </c>
      <c r="E85" s="1" t="s">
        <v>177</v>
      </c>
      <c r="F85" s="1" t="s">
        <v>178</v>
      </c>
      <c r="G85" s="18">
        <v>61802.0</v>
      </c>
    </row>
    <row r="86">
      <c r="A86" s="16" t="s">
        <v>544</v>
      </c>
      <c r="B86" s="16" t="s">
        <v>179</v>
      </c>
      <c r="C86" s="17">
        <v>22627.0</v>
      </c>
      <c r="D86" s="1" t="s">
        <v>168</v>
      </c>
      <c r="E86" s="1" t="s">
        <v>179</v>
      </c>
      <c r="F86" s="1" t="s">
        <v>180</v>
      </c>
      <c r="G86" s="18">
        <v>33252.0</v>
      </c>
    </row>
    <row r="87">
      <c r="A87" s="16" t="s">
        <v>544</v>
      </c>
      <c r="B87" s="16" t="s">
        <v>545</v>
      </c>
      <c r="C87" s="17">
        <v>43714.0</v>
      </c>
      <c r="D87" s="1" t="s">
        <v>168</v>
      </c>
      <c r="E87" s="1" t="s">
        <v>181</v>
      </c>
      <c r="F87" s="4" t="s">
        <v>182</v>
      </c>
      <c r="G87" s="18">
        <v>79639.0</v>
      </c>
    </row>
    <row r="88">
      <c r="A88" s="16" t="s">
        <v>544</v>
      </c>
      <c r="B88" s="16" t="s">
        <v>183</v>
      </c>
      <c r="C88" s="17">
        <v>67161.0</v>
      </c>
      <c r="D88" s="1" t="s">
        <v>168</v>
      </c>
      <c r="E88" s="1" t="s">
        <v>183</v>
      </c>
      <c r="F88" s="1" t="s">
        <v>184</v>
      </c>
      <c r="G88" s="18">
        <v>64081.0</v>
      </c>
    </row>
    <row r="89">
      <c r="A89" s="16" t="s">
        <v>544</v>
      </c>
      <c r="B89" s="16" t="s">
        <v>185</v>
      </c>
      <c r="C89" s="17">
        <v>144264.0</v>
      </c>
      <c r="D89" s="1" t="s">
        <v>168</v>
      </c>
      <c r="E89" s="1" t="s">
        <v>185</v>
      </c>
      <c r="F89" s="1" t="s">
        <v>186</v>
      </c>
      <c r="G89" s="18">
        <v>104062.0</v>
      </c>
    </row>
    <row r="90">
      <c r="A90" s="16" t="s">
        <v>544</v>
      </c>
      <c r="B90" s="16" t="s">
        <v>187</v>
      </c>
      <c r="C90" s="17">
        <v>124037.0</v>
      </c>
      <c r="D90" s="1" t="s">
        <v>168</v>
      </c>
      <c r="E90" s="1" t="s">
        <v>187</v>
      </c>
      <c r="F90" s="1" t="s">
        <v>188</v>
      </c>
      <c r="G90" s="18">
        <v>89988.0</v>
      </c>
    </row>
    <row r="91">
      <c r="A91" s="16" t="s">
        <v>544</v>
      </c>
      <c r="B91" s="16" t="s">
        <v>189</v>
      </c>
      <c r="C91" s="17">
        <v>56347.0</v>
      </c>
      <c r="D91" s="1" t="s">
        <v>168</v>
      </c>
      <c r="E91" s="1" t="s">
        <v>189</v>
      </c>
      <c r="F91" s="1" t="s">
        <v>190</v>
      </c>
      <c r="G91" s="18">
        <v>60857.0</v>
      </c>
    </row>
    <row r="92">
      <c r="A92" s="16" t="s">
        <v>544</v>
      </c>
      <c r="B92" s="16" t="s">
        <v>191</v>
      </c>
      <c r="C92" s="17">
        <v>36079.0</v>
      </c>
      <c r="D92" s="1" t="s">
        <v>168</v>
      </c>
      <c r="E92" s="1" t="s">
        <v>191</v>
      </c>
      <c r="F92" s="1" t="s">
        <v>192</v>
      </c>
      <c r="G92" s="18">
        <v>27164.0</v>
      </c>
    </row>
    <row r="93">
      <c r="A93" s="16" t="s">
        <v>544</v>
      </c>
      <c r="B93" s="16" t="s">
        <v>193</v>
      </c>
      <c r="C93" s="17">
        <v>31522.0</v>
      </c>
      <c r="D93" s="1" t="s">
        <v>168</v>
      </c>
      <c r="E93" s="1" t="s">
        <v>193</v>
      </c>
      <c r="F93" s="1" t="s">
        <v>194</v>
      </c>
      <c r="G93" s="18">
        <v>46588.0</v>
      </c>
    </row>
    <row r="94">
      <c r="A94" s="16" t="s">
        <v>544</v>
      </c>
      <c r="B94" s="16" t="s">
        <v>195</v>
      </c>
      <c r="C94" s="17">
        <v>53840.0</v>
      </c>
      <c r="D94" s="1" t="s">
        <v>168</v>
      </c>
      <c r="E94" s="1" t="s">
        <v>195</v>
      </c>
      <c r="F94" s="1" t="s">
        <v>196</v>
      </c>
      <c r="G94" s="18">
        <v>57727.0</v>
      </c>
    </row>
    <row r="95">
      <c r="A95" s="16" t="s">
        <v>544</v>
      </c>
      <c r="B95" s="16" t="s">
        <v>197</v>
      </c>
      <c r="C95" s="17">
        <v>88368.0</v>
      </c>
      <c r="D95" s="1" t="s">
        <v>168</v>
      </c>
      <c r="E95" s="1" t="s">
        <v>197</v>
      </c>
      <c r="F95" s="1" t="s">
        <v>198</v>
      </c>
      <c r="G95" s="18">
        <v>89894.0</v>
      </c>
    </row>
    <row r="96">
      <c r="A96" s="16" t="s">
        <v>544</v>
      </c>
      <c r="B96" s="16" t="s">
        <v>199</v>
      </c>
      <c r="C96" s="17">
        <v>30357.0</v>
      </c>
      <c r="D96" s="1" t="s">
        <v>168</v>
      </c>
      <c r="E96" s="1" t="s">
        <v>199</v>
      </c>
      <c r="F96" s="1" t="s">
        <v>200</v>
      </c>
      <c r="G96" s="18">
        <v>41514.0</v>
      </c>
    </row>
    <row r="97">
      <c r="A97" s="16" t="s">
        <v>544</v>
      </c>
      <c r="B97" s="16" t="s">
        <v>201</v>
      </c>
      <c r="C97" s="17">
        <v>96718.0</v>
      </c>
      <c r="D97" s="1" t="s">
        <v>168</v>
      </c>
      <c r="E97" s="1" t="s">
        <v>201</v>
      </c>
      <c r="F97" s="1" t="s">
        <v>202</v>
      </c>
      <c r="G97" s="18">
        <v>89569.0</v>
      </c>
    </row>
    <row r="98">
      <c r="A98" s="16" t="s">
        <v>544</v>
      </c>
      <c r="B98" s="16" t="s">
        <v>203</v>
      </c>
      <c r="C98" s="17">
        <v>42116.0</v>
      </c>
      <c r="D98" s="1" t="s">
        <v>168</v>
      </c>
      <c r="E98" s="1" t="s">
        <v>203</v>
      </c>
      <c r="F98" s="1" t="s">
        <v>204</v>
      </c>
      <c r="G98" s="18">
        <v>49412.0</v>
      </c>
    </row>
    <row r="99">
      <c r="A99" s="16" t="s">
        <v>544</v>
      </c>
      <c r="B99" s="16" t="s">
        <v>205</v>
      </c>
      <c r="C99" s="17">
        <v>121985.0</v>
      </c>
      <c r="D99" s="1" t="s">
        <v>168</v>
      </c>
      <c r="E99" s="1" t="s">
        <v>205</v>
      </c>
      <c r="F99" s="1" t="s">
        <v>206</v>
      </c>
      <c r="G99" s="18">
        <v>85473.0</v>
      </c>
    </row>
    <row r="100">
      <c r="A100" s="16" t="s">
        <v>544</v>
      </c>
      <c r="B100" s="16" t="s">
        <v>207</v>
      </c>
      <c r="C100" s="17">
        <v>38157.0</v>
      </c>
      <c r="D100" s="1" t="s">
        <v>168</v>
      </c>
      <c r="E100" s="1" t="s">
        <v>207</v>
      </c>
      <c r="F100" s="1" t="s">
        <v>208</v>
      </c>
      <c r="G100" s="18">
        <v>41966.0</v>
      </c>
    </row>
    <row r="101">
      <c r="A101" s="16" t="s">
        <v>544</v>
      </c>
      <c r="B101" s="16" t="s">
        <v>209</v>
      </c>
      <c r="C101" s="17">
        <v>84727.0</v>
      </c>
      <c r="D101" s="1" t="s">
        <v>168</v>
      </c>
      <c r="E101" s="1" t="s">
        <v>209</v>
      </c>
      <c r="F101" s="1" t="s">
        <v>210</v>
      </c>
      <c r="G101" s="18">
        <v>87121.0</v>
      </c>
    </row>
    <row r="102">
      <c r="A102" s="16" t="s">
        <v>544</v>
      </c>
      <c r="B102" s="16" t="s">
        <v>211</v>
      </c>
      <c r="C102" s="17">
        <v>105749.0</v>
      </c>
      <c r="D102" s="1" t="s">
        <v>168</v>
      </c>
      <c r="E102" s="1" t="s">
        <v>211</v>
      </c>
      <c r="F102" s="1" t="s">
        <v>212</v>
      </c>
      <c r="G102" s="18">
        <v>85919.0</v>
      </c>
    </row>
    <row r="103">
      <c r="A103" s="16" t="s">
        <v>544</v>
      </c>
      <c r="B103" s="16" t="s">
        <v>213</v>
      </c>
      <c r="C103" s="17">
        <v>102544.0</v>
      </c>
      <c r="D103" s="1" t="s">
        <v>168</v>
      </c>
      <c r="E103" s="1" t="s">
        <v>213</v>
      </c>
      <c r="F103" s="1" t="s">
        <v>214</v>
      </c>
      <c r="G103" s="18">
        <v>133872.0</v>
      </c>
    </row>
    <row r="104">
      <c r="A104" s="16" t="s">
        <v>582</v>
      </c>
      <c r="B104" s="16" t="s">
        <v>216</v>
      </c>
      <c r="C104" s="17">
        <v>55939.0</v>
      </c>
      <c r="D104" s="1" t="s">
        <v>215</v>
      </c>
      <c r="E104" s="1" t="s">
        <v>216</v>
      </c>
      <c r="F104" s="1" t="s">
        <v>217</v>
      </c>
      <c r="G104" s="18">
        <v>56143.0</v>
      </c>
    </row>
    <row r="105">
      <c r="A105" s="16" t="s">
        <v>582</v>
      </c>
      <c r="B105" s="16" t="s">
        <v>219</v>
      </c>
      <c r="C105" s="17">
        <v>61761.0</v>
      </c>
      <c r="D105" s="1" t="s">
        <v>215</v>
      </c>
      <c r="E105" s="1" t="s">
        <v>219</v>
      </c>
      <c r="F105" s="1" t="s">
        <v>220</v>
      </c>
      <c r="G105" s="18">
        <v>53445.0</v>
      </c>
    </row>
    <row r="106">
      <c r="A106" s="16" t="s">
        <v>582</v>
      </c>
      <c r="B106" s="16" t="s">
        <v>221</v>
      </c>
      <c r="C106" s="17">
        <v>50047.0</v>
      </c>
      <c r="D106" s="1" t="s">
        <v>215</v>
      </c>
      <c r="E106" s="1" t="s">
        <v>221</v>
      </c>
      <c r="F106" s="1" t="s">
        <v>222</v>
      </c>
      <c r="G106" s="18">
        <v>54909.0</v>
      </c>
    </row>
    <row r="107">
      <c r="A107" s="16" t="s">
        <v>582</v>
      </c>
      <c r="B107" s="16" t="s">
        <v>223</v>
      </c>
      <c r="C107" s="17">
        <v>63394.0</v>
      </c>
      <c r="D107" s="1" t="s">
        <v>215</v>
      </c>
      <c r="E107" s="1" t="s">
        <v>223</v>
      </c>
      <c r="F107" s="1" t="s">
        <v>224</v>
      </c>
      <c r="G107" s="18">
        <v>75212.0</v>
      </c>
    </row>
    <row r="108">
      <c r="A108" s="16" t="s">
        <v>582</v>
      </c>
      <c r="B108" s="16" t="s">
        <v>225</v>
      </c>
      <c r="C108" s="17">
        <v>86748.0</v>
      </c>
      <c r="D108" s="1" t="s">
        <v>215</v>
      </c>
      <c r="E108" s="1" t="s">
        <v>225</v>
      </c>
      <c r="F108" s="1" t="s">
        <v>226</v>
      </c>
      <c r="G108" s="18">
        <v>97774.0</v>
      </c>
    </row>
    <row r="109">
      <c r="A109" s="16" t="s">
        <v>582</v>
      </c>
      <c r="B109" s="16" t="s">
        <v>227</v>
      </c>
      <c r="C109" s="17">
        <v>50700.0</v>
      </c>
      <c r="D109" s="1" t="s">
        <v>215</v>
      </c>
      <c r="E109" s="1" t="s">
        <v>227</v>
      </c>
      <c r="F109" s="1" t="s">
        <v>228</v>
      </c>
      <c r="G109" s="18">
        <v>51301.0</v>
      </c>
    </row>
    <row r="110">
      <c r="A110" s="16" t="s">
        <v>582</v>
      </c>
      <c r="B110" s="16" t="s">
        <v>229</v>
      </c>
      <c r="C110" s="17">
        <v>56827.0</v>
      </c>
      <c r="D110" s="1" t="s">
        <v>215</v>
      </c>
      <c r="E110" s="1" t="s">
        <v>229</v>
      </c>
      <c r="F110" s="1" t="s">
        <v>230</v>
      </c>
      <c r="G110" s="18">
        <v>80216.0</v>
      </c>
    </row>
    <row r="111">
      <c r="A111" s="16" t="s">
        <v>582</v>
      </c>
      <c r="B111" s="16" t="s">
        <v>231</v>
      </c>
      <c r="C111" s="17">
        <v>86464.0</v>
      </c>
      <c r="D111" s="1" t="s">
        <v>215</v>
      </c>
      <c r="E111" s="1" t="s">
        <v>231</v>
      </c>
      <c r="F111" s="1" t="s">
        <v>232</v>
      </c>
      <c r="G111" s="18">
        <v>86599.0</v>
      </c>
    </row>
    <row r="112">
      <c r="A112" s="16" t="s">
        <v>582</v>
      </c>
      <c r="B112" s="16" t="s">
        <v>233</v>
      </c>
      <c r="C112" s="17">
        <v>63511.0</v>
      </c>
      <c r="D112" s="1" t="s">
        <v>215</v>
      </c>
      <c r="E112" s="1" t="s">
        <v>233</v>
      </c>
      <c r="F112" s="1" t="s">
        <v>234</v>
      </c>
      <c r="G112" s="18">
        <v>91729.0</v>
      </c>
    </row>
    <row r="113">
      <c r="A113" s="16" t="s">
        <v>582</v>
      </c>
      <c r="B113" s="16" t="s">
        <v>235</v>
      </c>
      <c r="C113" s="17">
        <v>79265.0</v>
      </c>
      <c r="D113" s="1" t="s">
        <v>215</v>
      </c>
      <c r="E113" s="1" t="s">
        <v>235</v>
      </c>
      <c r="F113" s="1" t="s">
        <v>236</v>
      </c>
      <c r="G113" s="18">
        <v>79976.0</v>
      </c>
    </row>
    <row r="114">
      <c r="A114" s="16" t="s">
        <v>582</v>
      </c>
      <c r="B114" s="16" t="s">
        <v>634</v>
      </c>
      <c r="C114" s="17">
        <v>55671.0</v>
      </c>
      <c r="D114" s="1" t="s">
        <v>215</v>
      </c>
      <c r="E114" s="1" t="s">
        <v>237</v>
      </c>
      <c r="F114" s="1" t="s">
        <v>238</v>
      </c>
      <c r="G114" s="18">
        <v>39284.0</v>
      </c>
    </row>
    <row r="115">
      <c r="A115" s="16" t="s">
        <v>582</v>
      </c>
      <c r="B115" s="16" t="s">
        <v>239</v>
      </c>
      <c r="C115" s="17">
        <v>96656.0</v>
      </c>
      <c r="D115" s="1" t="s">
        <v>215</v>
      </c>
      <c r="E115" s="1" t="s">
        <v>239</v>
      </c>
      <c r="F115" s="1" t="s">
        <v>240</v>
      </c>
      <c r="G115" s="18">
        <v>67418.0</v>
      </c>
    </row>
    <row r="116">
      <c r="A116" s="16" t="s">
        <v>582</v>
      </c>
      <c r="B116" s="16" t="s">
        <v>241</v>
      </c>
      <c r="C116" s="17">
        <v>59679.0</v>
      </c>
      <c r="D116" s="1" t="s">
        <v>215</v>
      </c>
      <c r="E116" s="1" t="s">
        <v>241</v>
      </c>
      <c r="F116" s="1" t="s">
        <v>242</v>
      </c>
      <c r="G116" s="18">
        <v>63251.0</v>
      </c>
    </row>
    <row r="117">
      <c r="A117" s="16" t="s">
        <v>582</v>
      </c>
      <c r="B117" s="16" t="s">
        <v>243</v>
      </c>
      <c r="C117" s="17">
        <v>49774.0</v>
      </c>
      <c r="D117" s="1" t="s">
        <v>215</v>
      </c>
      <c r="E117" s="1" t="s">
        <v>243</v>
      </c>
      <c r="F117" s="1" t="s">
        <v>244</v>
      </c>
      <c r="G117" s="18">
        <v>59039.0</v>
      </c>
    </row>
    <row r="118">
      <c r="A118" s="16" t="s">
        <v>582</v>
      </c>
      <c r="B118" s="16" t="s">
        <v>635</v>
      </c>
      <c r="C118" s="17">
        <v>41065.0</v>
      </c>
      <c r="D118" s="1" t="s">
        <v>215</v>
      </c>
      <c r="E118" s="1" t="s">
        <v>245</v>
      </c>
      <c r="F118" s="1" t="s">
        <v>246</v>
      </c>
      <c r="G118" s="18">
        <v>39137.0</v>
      </c>
    </row>
    <row r="119">
      <c r="A119" s="16" t="s">
        <v>582</v>
      </c>
      <c r="B119" s="16" t="s">
        <v>247</v>
      </c>
      <c r="C119" s="17">
        <v>67243.0</v>
      </c>
      <c r="D119" s="1" t="s">
        <v>215</v>
      </c>
      <c r="E119" s="1" t="s">
        <v>247</v>
      </c>
      <c r="F119" s="1" t="s">
        <v>248</v>
      </c>
      <c r="G119" s="18">
        <v>71179.0</v>
      </c>
    </row>
    <row r="120">
      <c r="A120" s="16" t="s">
        <v>582</v>
      </c>
      <c r="B120" s="16" t="s">
        <v>249</v>
      </c>
      <c r="C120" s="17">
        <v>177570.0</v>
      </c>
      <c r="D120" s="1" t="s">
        <v>215</v>
      </c>
      <c r="E120" s="1" t="s">
        <v>249</v>
      </c>
      <c r="F120" s="1" t="s">
        <v>250</v>
      </c>
      <c r="G120" s="18">
        <v>104508.0</v>
      </c>
    </row>
    <row r="121">
      <c r="A121" s="16" t="s">
        <v>582</v>
      </c>
      <c r="B121" s="16" t="s">
        <v>251</v>
      </c>
      <c r="C121" s="17">
        <v>78340.0</v>
      </c>
      <c r="D121" s="1" t="s">
        <v>215</v>
      </c>
      <c r="E121" s="1" t="s">
        <v>251</v>
      </c>
      <c r="F121" s="1" t="s">
        <v>252</v>
      </c>
      <c r="G121" s="18">
        <v>107243.0</v>
      </c>
    </row>
    <row r="122">
      <c r="A122" s="16" t="s">
        <v>582</v>
      </c>
      <c r="B122" s="16" t="s">
        <v>253</v>
      </c>
      <c r="C122" s="17">
        <v>58047.0</v>
      </c>
      <c r="D122" s="1" t="s">
        <v>215</v>
      </c>
      <c r="E122" s="1" t="s">
        <v>253</v>
      </c>
      <c r="F122" s="1" t="s">
        <v>254</v>
      </c>
      <c r="G122" s="18">
        <v>62132.0</v>
      </c>
    </row>
    <row r="123">
      <c r="A123" s="16" t="s">
        <v>582</v>
      </c>
      <c r="B123" s="16" t="s">
        <v>255</v>
      </c>
      <c r="C123" s="17">
        <v>53202.0</v>
      </c>
      <c r="D123" s="1" t="s">
        <v>215</v>
      </c>
      <c r="E123" s="1" t="s">
        <v>255</v>
      </c>
      <c r="F123" s="1" t="s">
        <v>256</v>
      </c>
      <c r="G123" s="18">
        <v>47638.0</v>
      </c>
    </row>
    <row r="124">
      <c r="A124" s="16" t="s">
        <v>582</v>
      </c>
      <c r="B124" s="16" t="s">
        <v>257</v>
      </c>
      <c r="C124" s="17">
        <v>69686.0</v>
      </c>
      <c r="D124" s="1" t="s">
        <v>215</v>
      </c>
      <c r="E124" s="1" t="s">
        <v>257</v>
      </c>
      <c r="F124" s="1" t="s">
        <v>258</v>
      </c>
      <c r="G124" s="18">
        <v>51638.0</v>
      </c>
    </row>
    <row r="125">
      <c r="A125" s="16" t="s">
        <v>582</v>
      </c>
      <c r="B125" s="16" t="s">
        <v>259</v>
      </c>
      <c r="C125" s="17">
        <v>47617.0</v>
      </c>
      <c r="D125" s="1" t="s">
        <v>215</v>
      </c>
      <c r="E125" s="1" t="s">
        <v>259</v>
      </c>
      <c r="F125" s="1" t="s">
        <v>260</v>
      </c>
      <c r="G125" s="18">
        <v>40399.0</v>
      </c>
    </row>
    <row r="126">
      <c r="A126" s="16" t="s">
        <v>582</v>
      </c>
      <c r="B126" s="16" t="s">
        <v>261</v>
      </c>
      <c r="C126" s="17">
        <v>50034.0</v>
      </c>
      <c r="D126" s="1" t="s">
        <v>215</v>
      </c>
      <c r="E126" s="1" t="s">
        <v>261</v>
      </c>
      <c r="F126" s="1" t="s">
        <v>262</v>
      </c>
      <c r="G126" s="18">
        <v>41081.0</v>
      </c>
    </row>
    <row r="127">
      <c r="A127" s="16" t="s">
        <v>582</v>
      </c>
      <c r="B127" s="16" t="s">
        <v>263</v>
      </c>
      <c r="C127" s="17">
        <v>93255.0</v>
      </c>
      <c r="D127" s="1" t="s">
        <v>215</v>
      </c>
      <c r="E127" s="1" t="s">
        <v>263</v>
      </c>
      <c r="F127" s="1" t="s">
        <v>264</v>
      </c>
      <c r="G127" s="18">
        <v>77747.0</v>
      </c>
    </row>
    <row r="128">
      <c r="A128" s="16" t="s">
        <v>582</v>
      </c>
      <c r="B128" s="16" t="s">
        <v>265</v>
      </c>
      <c r="C128" s="17">
        <v>121658.0</v>
      </c>
      <c r="D128" s="1" t="s">
        <v>215</v>
      </c>
      <c r="E128" s="1" t="s">
        <v>265</v>
      </c>
      <c r="F128" s="1" t="s">
        <v>266</v>
      </c>
      <c r="G128" s="18">
        <v>214528.0</v>
      </c>
    </row>
    <row r="129">
      <c r="A129" s="16" t="s">
        <v>582</v>
      </c>
      <c r="B129" s="16" t="s">
        <v>267</v>
      </c>
      <c r="C129" s="17">
        <v>37900.0</v>
      </c>
      <c r="D129" s="1" t="s">
        <v>215</v>
      </c>
      <c r="E129" s="1" t="s">
        <v>267</v>
      </c>
      <c r="F129" s="1" t="s">
        <v>268</v>
      </c>
      <c r="G129" s="18">
        <v>39600.0</v>
      </c>
    </row>
    <row r="130">
      <c r="A130" s="16" t="s">
        <v>582</v>
      </c>
      <c r="B130" s="16" t="s">
        <v>269</v>
      </c>
      <c r="C130" s="17">
        <v>49854.0</v>
      </c>
      <c r="D130" s="1" t="s">
        <v>215</v>
      </c>
      <c r="E130" s="1" t="s">
        <v>269</v>
      </c>
      <c r="F130" s="1" t="s">
        <v>270</v>
      </c>
      <c r="G130" s="18">
        <v>49641.0</v>
      </c>
    </row>
    <row r="131">
      <c r="A131" s="16" t="s">
        <v>582</v>
      </c>
      <c r="B131" s="16" t="s">
        <v>271</v>
      </c>
      <c r="C131" s="17">
        <v>49101.0</v>
      </c>
      <c r="D131" s="1" t="s">
        <v>215</v>
      </c>
      <c r="E131" s="1" t="s">
        <v>271</v>
      </c>
      <c r="F131" s="1" t="s">
        <v>272</v>
      </c>
      <c r="G131" s="18">
        <v>47487.0</v>
      </c>
    </row>
    <row r="132">
      <c r="A132" s="16" t="s">
        <v>582</v>
      </c>
      <c r="B132" s="16" t="s">
        <v>273</v>
      </c>
      <c r="C132" s="17">
        <v>90430.0</v>
      </c>
      <c r="D132" s="1" t="s">
        <v>215</v>
      </c>
      <c r="E132" s="1" t="s">
        <v>273</v>
      </c>
      <c r="F132" s="1" t="s">
        <v>274</v>
      </c>
      <c r="G132" s="18">
        <v>44416.0</v>
      </c>
    </row>
    <row r="133">
      <c r="A133" s="16" t="s">
        <v>582</v>
      </c>
      <c r="B133" s="16" t="s">
        <v>275</v>
      </c>
      <c r="C133" s="17">
        <v>70596.0</v>
      </c>
      <c r="D133" s="1" t="s">
        <v>215</v>
      </c>
      <c r="E133" s="1" t="s">
        <v>275</v>
      </c>
      <c r="F133" s="1" t="s">
        <v>276</v>
      </c>
      <c r="G133" s="18">
        <v>79438.0</v>
      </c>
    </row>
    <row r="134">
      <c r="A134" s="16" t="s">
        <v>582</v>
      </c>
      <c r="B134" s="16" t="s">
        <v>277</v>
      </c>
      <c r="C134" s="17">
        <v>83260.0</v>
      </c>
      <c r="D134" s="1" t="s">
        <v>215</v>
      </c>
      <c r="E134" s="1" t="s">
        <v>277</v>
      </c>
      <c r="F134" s="1" t="s">
        <v>278</v>
      </c>
      <c r="G134" s="18">
        <v>153178.0</v>
      </c>
    </row>
    <row r="135">
      <c r="A135" s="16" t="s">
        <v>582</v>
      </c>
      <c r="B135" s="16" t="s">
        <v>279</v>
      </c>
      <c r="C135" s="17">
        <v>53539.0</v>
      </c>
      <c r="D135" s="1" t="s">
        <v>215</v>
      </c>
      <c r="E135" s="1" t="s">
        <v>279</v>
      </c>
      <c r="F135" s="1" t="s">
        <v>280</v>
      </c>
      <c r="G135" s="18">
        <v>51813.0</v>
      </c>
    </row>
    <row r="136">
      <c r="A136" s="16" t="s">
        <v>582</v>
      </c>
      <c r="B136" s="16" t="s">
        <v>281</v>
      </c>
      <c r="C136" s="17">
        <v>36067.0</v>
      </c>
      <c r="D136" s="1" t="s">
        <v>215</v>
      </c>
      <c r="E136" s="1" t="s">
        <v>281</v>
      </c>
      <c r="F136" s="1" t="s">
        <v>282</v>
      </c>
      <c r="G136" s="18">
        <v>31899.0</v>
      </c>
    </row>
    <row r="137">
      <c r="A137" s="16" t="s">
        <v>582</v>
      </c>
      <c r="B137" s="16" t="s">
        <v>283</v>
      </c>
      <c r="C137" s="17">
        <v>75216.0</v>
      </c>
      <c r="D137" s="1" t="s">
        <v>215</v>
      </c>
      <c r="E137" s="1" t="s">
        <v>283</v>
      </c>
      <c r="F137" s="1" t="s">
        <v>284</v>
      </c>
      <c r="G137" s="18">
        <v>64862.0</v>
      </c>
    </row>
    <row r="138">
      <c r="A138" s="16" t="s">
        <v>582</v>
      </c>
      <c r="B138" s="16" t="s">
        <v>285</v>
      </c>
      <c r="C138" s="17">
        <v>46667.0</v>
      </c>
      <c r="D138" s="1" t="s">
        <v>215</v>
      </c>
      <c r="E138" s="1" t="s">
        <v>285</v>
      </c>
      <c r="F138" s="1" t="s">
        <v>286</v>
      </c>
      <c r="G138" s="18">
        <v>48792.0</v>
      </c>
    </row>
    <row r="139">
      <c r="A139" s="16" t="s">
        <v>582</v>
      </c>
      <c r="B139" s="16" t="s">
        <v>287</v>
      </c>
      <c r="C139" s="17">
        <v>78066.0</v>
      </c>
      <c r="D139" s="1" t="s">
        <v>215</v>
      </c>
      <c r="E139" s="1" t="s">
        <v>287</v>
      </c>
      <c r="F139" s="1" t="s">
        <v>288</v>
      </c>
      <c r="G139" s="18">
        <v>85094.0</v>
      </c>
    </row>
    <row r="140">
      <c r="A140" s="16" t="s">
        <v>582</v>
      </c>
      <c r="B140" s="16" t="s">
        <v>289</v>
      </c>
      <c r="C140" s="17">
        <v>64575.0</v>
      </c>
      <c r="D140" s="1" t="s">
        <v>215</v>
      </c>
      <c r="E140" s="1" t="s">
        <v>289</v>
      </c>
      <c r="F140" s="1" t="s">
        <v>290</v>
      </c>
      <c r="G140" s="18">
        <v>76470.0</v>
      </c>
    </row>
    <row r="141">
      <c r="A141" s="16" t="s">
        <v>582</v>
      </c>
      <c r="B141" s="16" t="s">
        <v>291</v>
      </c>
      <c r="C141" s="17">
        <v>78710.0</v>
      </c>
      <c r="D141" s="1" t="s">
        <v>215</v>
      </c>
      <c r="E141" s="1" t="s">
        <v>291</v>
      </c>
      <c r="F141" s="1" t="s">
        <v>292</v>
      </c>
      <c r="G141" s="18">
        <v>65110.0</v>
      </c>
    </row>
    <row r="142">
      <c r="A142" s="16" t="s">
        <v>582</v>
      </c>
      <c r="B142" s="16" t="s">
        <v>293</v>
      </c>
      <c r="C142" s="17">
        <v>30709.0</v>
      </c>
      <c r="D142" s="1" t="s">
        <v>215</v>
      </c>
      <c r="E142" s="1" t="s">
        <v>293</v>
      </c>
      <c r="F142" s="1" t="s">
        <v>294</v>
      </c>
      <c r="G142" s="18">
        <v>37618.0</v>
      </c>
    </row>
    <row r="143">
      <c r="A143" s="16" t="s">
        <v>582</v>
      </c>
      <c r="B143" s="16" t="s">
        <v>295</v>
      </c>
      <c r="C143" s="17">
        <v>54298.0</v>
      </c>
      <c r="D143" s="1" t="s">
        <v>215</v>
      </c>
      <c r="E143" s="1" t="s">
        <v>295</v>
      </c>
      <c r="F143" s="1" t="s">
        <v>296</v>
      </c>
      <c r="G143" s="18">
        <v>42054.0</v>
      </c>
    </row>
    <row r="144">
      <c r="A144" s="16" t="s">
        <v>582</v>
      </c>
      <c r="B144" s="16" t="s">
        <v>297</v>
      </c>
      <c r="C144" s="17">
        <v>58579.0</v>
      </c>
      <c r="D144" s="1" t="s">
        <v>215</v>
      </c>
      <c r="E144" s="1" t="s">
        <v>297</v>
      </c>
      <c r="F144" s="1" t="s">
        <v>298</v>
      </c>
      <c r="G144" s="18">
        <v>72701.0</v>
      </c>
    </row>
    <row r="145">
      <c r="A145" s="16" t="s">
        <v>582</v>
      </c>
      <c r="B145" s="16" t="s">
        <v>299</v>
      </c>
      <c r="C145" s="17">
        <v>281709.0</v>
      </c>
      <c r="D145" s="1" t="s">
        <v>215</v>
      </c>
      <c r="E145" s="1" t="s">
        <v>299</v>
      </c>
      <c r="F145" s="1" t="s">
        <v>300</v>
      </c>
      <c r="G145" s="18">
        <v>218794.0</v>
      </c>
    </row>
    <row r="146">
      <c r="A146" s="16" t="s">
        <v>582</v>
      </c>
      <c r="B146" s="16" t="s">
        <v>301</v>
      </c>
      <c r="C146" s="17">
        <v>105013.0</v>
      </c>
      <c r="D146" s="1" t="s">
        <v>215</v>
      </c>
      <c r="E146" s="1" t="s">
        <v>301</v>
      </c>
      <c r="F146" s="1" t="s">
        <v>302</v>
      </c>
      <c r="G146" s="18">
        <v>46196.0</v>
      </c>
    </row>
    <row r="147">
      <c r="A147" s="16" t="s">
        <v>582</v>
      </c>
      <c r="B147" s="16" t="s">
        <v>303</v>
      </c>
      <c r="C147" s="17">
        <v>57900.0</v>
      </c>
      <c r="D147" s="1" t="s">
        <v>215</v>
      </c>
      <c r="E147" s="1" t="s">
        <v>303</v>
      </c>
      <c r="F147" s="1" t="s">
        <v>304</v>
      </c>
      <c r="G147" s="18">
        <v>64586.0</v>
      </c>
    </row>
    <row r="148">
      <c r="A148" s="16" t="s">
        <v>636</v>
      </c>
      <c r="B148" s="16" t="s">
        <v>306</v>
      </c>
      <c r="C148" s="17">
        <v>34450.0</v>
      </c>
      <c r="D148" s="1" t="s">
        <v>305</v>
      </c>
      <c r="E148" s="1" t="s">
        <v>306</v>
      </c>
      <c r="F148" s="1" t="s">
        <v>307</v>
      </c>
      <c r="G148" s="18">
        <v>70913.0</v>
      </c>
    </row>
    <row r="149">
      <c r="A149" s="16" t="s">
        <v>636</v>
      </c>
      <c r="B149" s="16" t="s">
        <v>308</v>
      </c>
      <c r="C149" s="17">
        <v>48555.0</v>
      </c>
      <c r="D149" s="1" t="s">
        <v>305</v>
      </c>
      <c r="E149" s="1" t="s">
        <v>308</v>
      </c>
      <c r="F149" s="1" t="s">
        <v>309</v>
      </c>
      <c r="G149" s="18">
        <v>68528.0</v>
      </c>
    </row>
    <row r="150">
      <c r="A150" s="16" t="s">
        <v>636</v>
      </c>
      <c r="B150" s="16" t="s">
        <v>310</v>
      </c>
      <c r="C150" s="17">
        <v>61605.0</v>
      </c>
      <c r="D150" s="1" t="s">
        <v>305</v>
      </c>
      <c r="E150" s="1" t="s">
        <v>310</v>
      </c>
      <c r="F150" s="1" t="s">
        <v>311</v>
      </c>
      <c r="G150" s="18">
        <v>51367.0</v>
      </c>
    </row>
    <row r="151">
      <c r="A151" s="16" t="s">
        <v>636</v>
      </c>
      <c r="B151" s="16" t="s">
        <v>312</v>
      </c>
      <c r="C151" s="17">
        <v>66346.0</v>
      </c>
      <c r="D151" s="1" t="s">
        <v>305</v>
      </c>
      <c r="E151" s="1" t="s">
        <v>312</v>
      </c>
      <c r="F151" s="1" t="s">
        <v>313</v>
      </c>
      <c r="G151" s="18">
        <v>65547.0</v>
      </c>
    </row>
    <row r="152">
      <c r="A152" s="16" t="s">
        <v>636</v>
      </c>
      <c r="B152" s="16" t="s">
        <v>314</v>
      </c>
      <c r="C152" s="17">
        <v>38692.0</v>
      </c>
      <c r="D152" s="1" t="s">
        <v>305</v>
      </c>
      <c r="E152" s="1" t="s">
        <v>314</v>
      </c>
      <c r="F152" s="1" t="s">
        <v>315</v>
      </c>
      <c r="G152" s="18">
        <v>49022.0</v>
      </c>
    </row>
    <row r="153">
      <c r="A153" s="16" t="s">
        <v>636</v>
      </c>
      <c r="B153" s="16" t="s">
        <v>316</v>
      </c>
      <c r="C153" s="17">
        <v>42322.0</v>
      </c>
      <c r="D153" s="1" t="s">
        <v>305</v>
      </c>
      <c r="E153" s="1" t="s">
        <v>316</v>
      </c>
      <c r="F153" s="1" t="s">
        <v>317</v>
      </c>
      <c r="G153" s="18">
        <v>48002.0</v>
      </c>
    </row>
    <row r="154">
      <c r="A154" s="16" t="s">
        <v>636</v>
      </c>
      <c r="B154" s="16" t="s">
        <v>320</v>
      </c>
      <c r="C154" s="17">
        <v>43760.0</v>
      </c>
      <c r="D154" s="1" t="s">
        <v>305</v>
      </c>
      <c r="E154" s="1" t="s">
        <v>318</v>
      </c>
      <c r="F154" s="1" t="s">
        <v>319</v>
      </c>
      <c r="G154" s="18">
        <v>46377.0</v>
      </c>
    </row>
    <row r="155">
      <c r="A155" s="16" t="s">
        <v>636</v>
      </c>
      <c r="B155" s="16" t="s">
        <v>322</v>
      </c>
      <c r="C155" s="17">
        <v>32717.0</v>
      </c>
      <c r="D155" s="1" t="s">
        <v>305</v>
      </c>
      <c r="E155" s="1" t="s">
        <v>320</v>
      </c>
      <c r="F155" s="1" t="s">
        <v>321</v>
      </c>
      <c r="G155" s="18">
        <v>56497.0</v>
      </c>
    </row>
    <row r="156">
      <c r="A156" s="16" t="s">
        <v>636</v>
      </c>
      <c r="B156" s="16" t="s">
        <v>318</v>
      </c>
      <c r="C156" s="17">
        <v>34638.0</v>
      </c>
      <c r="D156" s="1" t="s">
        <v>305</v>
      </c>
      <c r="E156" s="1" t="s">
        <v>322</v>
      </c>
      <c r="F156" s="1" t="s">
        <v>323</v>
      </c>
      <c r="G156" s="18">
        <v>58607.0</v>
      </c>
    </row>
    <row r="157">
      <c r="A157" s="16" t="s">
        <v>636</v>
      </c>
      <c r="B157" s="16" t="s">
        <v>324</v>
      </c>
      <c r="C157" s="17">
        <v>71909.0</v>
      </c>
      <c r="D157" s="1" t="s">
        <v>305</v>
      </c>
      <c r="E157" s="1" t="s">
        <v>324</v>
      </c>
      <c r="F157" s="1" t="s">
        <v>325</v>
      </c>
      <c r="G157" s="18">
        <v>64537.0</v>
      </c>
    </row>
    <row r="158">
      <c r="A158" s="16" t="s">
        <v>636</v>
      </c>
      <c r="B158" s="16" t="s">
        <v>326</v>
      </c>
      <c r="C158" s="17">
        <v>36854.0</v>
      </c>
      <c r="D158" s="1" t="s">
        <v>305</v>
      </c>
      <c r="E158" s="1" t="s">
        <v>326</v>
      </c>
      <c r="F158" s="1" t="s">
        <v>327</v>
      </c>
      <c r="G158" s="18">
        <v>43950.0</v>
      </c>
    </row>
    <row r="159">
      <c r="A159" s="16" t="s">
        <v>636</v>
      </c>
      <c r="B159" s="16" t="s">
        <v>637</v>
      </c>
      <c r="C159" s="17">
        <v>50980.0</v>
      </c>
      <c r="D159" s="1" t="s">
        <v>305</v>
      </c>
      <c r="E159" s="1" t="s">
        <v>328</v>
      </c>
      <c r="F159" s="1" t="s">
        <v>329</v>
      </c>
      <c r="G159" s="18">
        <v>65942.0</v>
      </c>
    </row>
    <row r="160">
      <c r="A160" s="16" t="s">
        <v>636</v>
      </c>
      <c r="B160" s="16" t="s">
        <v>330</v>
      </c>
      <c r="C160" s="17">
        <v>73614.0</v>
      </c>
      <c r="D160" s="1" t="s">
        <v>305</v>
      </c>
      <c r="E160" s="1" t="s">
        <v>330</v>
      </c>
      <c r="F160" s="1" t="s">
        <v>331</v>
      </c>
      <c r="G160" s="18">
        <v>65935.0</v>
      </c>
    </row>
    <row r="161">
      <c r="A161" s="16" t="s">
        <v>636</v>
      </c>
      <c r="B161" s="16" t="s">
        <v>332</v>
      </c>
      <c r="C161" s="17">
        <v>67800.0</v>
      </c>
      <c r="D161" s="1" t="s">
        <v>305</v>
      </c>
      <c r="E161" s="1" t="s">
        <v>332</v>
      </c>
      <c r="F161" s="1" t="s">
        <v>333</v>
      </c>
      <c r="G161" s="18">
        <v>91515.0</v>
      </c>
    </row>
    <row r="162">
      <c r="A162" s="16" t="s">
        <v>636</v>
      </c>
      <c r="B162" s="16" t="s">
        <v>334</v>
      </c>
      <c r="C162" s="17">
        <v>50934.0</v>
      </c>
      <c r="D162" s="1" t="s">
        <v>305</v>
      </c>
      <c r="E162" s="1" t="s">
        <v>334</v>
      </c>
      <c r="F162" s="1" t="s">
        <v>335</v>
      </c>
      <c r="G162" s="18">
        <v>57904.0</v>
      </c>
    </row>
    <row r="163">
      <c r="A163" s="16" t="s">
        <v>636</v>
      </c>
      <c r="B163" s="16" t="s">
        <v>336</v>
      </c>
      <c r="C163" s="17">
        <v>41807.0</v>
      </c>
      <c r="D163" s="1" t="s">
        <v>305</v>
      </c>
      <c r="E163" s="1" t="s">
        <v>336</v>
      </c>
      <c r="F163" s="1" t="s">
        <v>337</v>
      </c>
      <c r="G163" s="18">
        <v>53586.0</v>
      </c>
    </row>
    <row r="164">
      <c r="A164" s="16" t="s">
        <v>636</v>
      </c>
      <c r="B164" s="16" t="s">
        <v>338</v>
      </c>
      <c r="C164" s="17">
        <v>65601.0</v>
      </c>
      <c r="D164" s="1" t="s">
        <v>305</v>
      </c>
      <c r="E164" s="1" t="s">
        <v>338</v>
      </c>
      <c r="F164" s="1" t="s">
        <v>339</v>
      </c>
      <c r="G164" s="18">
        <v>79005.0</v>
      </c>
    </row>
    <row r="165">
      <c r="A165" s="16" t="s">
        <v>636</v>
      </c>
      <c r="B165" s="16" t="s">
        <v>340</v>
      </c>
      <c r="C165" s="17">
        <v>66634.0</v>
      </c>
      <c r="D165" s="1" t="s">
        <v>305</v>
      </c>
      <c r="E165" s="1" t="s">
        <v>340</v>
      </c>
      <c r="F165" s="1" t="s">
        <v>341</v>
      </c>
      <c r="G165" s="18">
        <v>51630.0</v>
      </c>
    </row>
    <row r="166">
      <c r="A166" s="16" t="s">
        <v>636</v>
      </c>
      <c r="B166" s="16" t="s">
        <v>342</v>
      </c>
      <c r="C166" s="17">
        <v>79312.0</v>
      </c>
      <c r="D166" s="1" t="s">
        <v>305</v>
      </c>
      <c r="E166" s="1" t="s">
        <v>342</v>
      </c>
      <c r="F166" s="1" t="s">
        <v>343</v>
      </c>
      <c r="G166" s="18">
        <v>71931.0</v>
      </c>
    </row>
    <row r="167">
      <c r="A167" s="16" t="s">
        <v>636</v>
      </c>
      <c r="B167" s="16" t="s">
        <v>344</v>
      </c>
      <c r="C167" s="17">
        <v>45608.0</v>
      </c>
      <c r="D167" s="1" t="s">
        <v>305</v>
      </c>
      <c r="E167" s="1" t="s">
        <v>344</v>
      </c>
      <c r="F167" s="1" t="s">
        <v>345</v>
      </c>
      <c r="G167" s="18">
        <v>57796.0</v>
      </c>
    </row>
    <row r="168">
      <c r="A168" s="16" t="s">
        <v>636</v>
      </c>
      <c r="B168" s="16" t="s">
        <v>305</v>
      </c>
      <c r="C168" s="17">
        <v>130144.0</v>
      </c>
      <c r="D168" s="1" t="s">
        <v>305</v>
      </c>
      <c r="E168" s="1" t="s">
        <v>305</v>
      </c>
      <c r="F168" s="1" t="s">
        <v>346</v>
      </c>
      <c r="G168" s="18">
        <v>135487.0</v>
      </c>
    </row>
    <row r="169">
      <c r="A169" s="16" t="s">
        <v>636</v>
      </c>
      <c r="B169" s="16" t="s">
        <v>347</v>
      </c>
      <c r="C169" s="17">
        <v>37676.0</v>
      </c>
      <c r="D169" s="1" t="s">
        <v>305</v>
      </c>
      <c r="E169" s="1" t="s">
        <v>347</v>
      </c>
      <c r="F169" s="1" t="s">
        <v>348</v>
      </c>
      <c r="G169" s="18">
        <v>43366.0</v>
      </c>
    </row>
    <row r="170">
      <c r="A170" s="16" t="s">
        <v>636</v>
      </c>
      <c r="B170" s="16" t="s">
        <v>349</v>
      </c>
      <c r="C170" s="17">
        <v>29656.0</v>
      </c>
      <c r="D170" s="1" t="s">
        <v>305</v>
      </c>
      <c r="E170" s="1" t="s">
        <v>349</v>
      </c>
      <c r="F170" s="1" t="s">
        <v>350</v>
      </c>
      <c r="G170" s="18">
        <v>39060.0</v>
      </c>
    </row>
    <row r="171">
      <c r="A171" s="16" t="s">
        <v>636</v>
      </c>
      <c r="B171" s="16" t="s">
        <v>638</v>
      </c>
      <c r="C171" s="17">
        <v>99324.0</v>
      </c>
      <c r="D171" s="1" t="s">
        <v>305</v>
      </c>
      <c r="E171" s="1" t="s">
        <v>351</v>
      </c>
      <c r="F171" s="1" t="s">
        <v>352</v>
      </c>
      <c r="G171" s="18">
        <v>69384.0</v>
      </c>
    </row>
    <row r="172">
      <c r="A172" s="16" t="s">
        <v>636</v>
      </c>
      <c r="B172" s="16" t="s">
        <v>353</v>
      </c>
      <c r="C172" s="17">
        <v>43253.0</v>
      </c>
      <c r="D172" s="1" t="s">
        <v>305</v>
      </c>
      <c r="E172" s="1" t="s">
        <v>353</v>
      </c>
      <c r="F172" s="1" t="s">
        <v>354</v>
      </c>
      <c r="G172" s="18">
        <v>82623.0</v>
      </c>
    </row>
    <row r="173">
      <c r="A173" s="16" t="s">
        <v>636</v>
      </c>
      <c r="B173" s="16" t="s">
        <v>355</v>
      </c>
      <c r="C173" s="17">
        <v>52219.0</v>
      </c>
      <c r="D173" s="1" t="s">
        <v>305</v>
      </c>
      <c r="E173" s="1" t="s">
        <v>355</v>
      </c>
      <c r="F173" s="1" t="s">
        <v>356</v>
      </c>
      <c r="G173" s="18">
        <v>72900.0</v>
      </c>
    </row>
    <row r="174">
      <c r="A174" s="16" t="s">
        <v>636</v>
      </c>
      <c r="B174" s="16" t="s">
        <v>357</v>
      </c>
      <c r="C174" s="17">
        <v>51651.0</v>
      </c>
      <c r="D174" s="1" t="s">
        <v>305</v>
      </c>
      <c r="E174" s="1" t="s">
        <v>357</v>
      </c>
      <c r="F174" s="1" t="s">
        <v>358</v>
      </c>
      <c r="G174" s="18">
        <v>71327.0</v>
      </c>
    </row>
    <row r="175">
      <c r="A175" s="16" t="s">
        <v>636</v>
      </c>
      <c r="B175" s="16" t="s">
        <v>359</v>
      </c>
      <c r="C175" s="17">
        <v>35792.0</v>
      </c>
      <c r="D175" s="1" t="s">
        <v>305</v>
      </c>
      <c r="E175" s="1" t="s">
        <v>359</v>
      </c>
      <c r="F175" s="1" t="s">
        <v>360</v>
      </c>
      <c r="G175" s="18">
        <v>34226.0</v>
      </c>
    </row>
    <row r="176">
      <c r="A176" s="16" t="s">
        <v>636</v>
      </c>
      <c r="B176" s="16" t="s">
        <v>361</v>
      </c>
      <c r="C176" s="17">
        <v>74620.0</v>
      </c>
      <c r="D176" s="1" t="s">
        <v>305</v>
      </c>
      <c r="E176" s="1" t="s">
        <v>361</v>
      </c>
      <c r="F176" s="1" t="s">
        <v>362</v>
      </c>
      <c r="G176" s="18">
        <v>54037.0</v>
      </c>
    </row>
    <row r="177">
      <c r="A177" s="16" t="s">
        <v>636</v>
      </c>
      <c r="B177" s="16" t="s">
        <v>363</v>
      </c>
      <c r="C177" s="17">
        <v>47596.0</v>
      </c>
      <c r="D177" s="1" t="s">
        <v>305</v>
      </c>
      <c r="E177" s="1" t="s">
        <v>363</v>
      </c>
      <c r="F177" s="1" t="s">
        <v>364</v>
      </c>
      <c r="G177" s="18">
        <v>60652.0</v>
      </c>
    </row>
    <row r="178">
      <c r="A178" s="16" t="s">
        <v>636</v>
      </c>
      <c r="B178" s="16" t="s">
        <v>365</v>
      </c>
      <c r="C178" s="17">
        <v>53290.0</v>
      </c>
      <c r="D178" s="1" t="s">
        <v>305</v>
      </c>
      <c r="E178" s="1" t="s">
        <v>365</v>
      </c>
      <c r="F178" s="1" t="s">
        <v>366</v>
      </c>
      <c r="G178" s="18">
        <v>37278.0</v>
      </c>
    </row>
    <row r="179">
      <c r="A179" s="16" t="s">
        <v>636</v>
      </c>
      <c r="B179" s="16" t="s">
        <v>367</v>
      </c>
      <c r="C179" s="17">
        <v>56693.0</v>
      </c>
      <c r="D179" s="1" t="s">
        <v>305</v>
      </c>
      <c r="E179" s="1" t="s">
        <v>367</v>
      </c>
      <c r="F179" s="1" t="s">
        <v>368</v>
      </c>
      <c r="G179" s="18">
        <v>52132.0</v>
      </c>
    </row>
    <row r="180">
      <c r="A180" s="16" t="s">
        <v>636</v>
      </c>
      <c r="B180" s="16" t="s">
        <v>369</v>
      </c>
      <c r="C180" s="17">
        <v>39115.0</v>
      </c>
      <c r="D180" s="1" t="s">
        <v>305</v>
      </c>
      <c r="E180" s="1" t="s">
        <v>369</v>
      </c>
      <c r="F180" s="1" t="s">
        <v>370</v>
      </c>
      <c r="G180" s="18">
        <v>48638.0</v>
      </c>
    </row>
    <row r="181">
      <c r="A181" s="16" t="s">
        <v>636</v>
      </c>
      <c r="B181" s="16" t="s">
        <v>371</v>
      </c>
      <c r="C181" s="17">
        <v>76286.0</v>
      </c>
      <c r="D181" s="1" t="s">
        <v>305</v>
      </c>
      <c r="E181" s="1" t="s">
        <v>371</v>
      </c>
      <c r="F181" s="1" t="s">
        <v>372</v>
      </c>
      <c r="G181" s="18">
        <v>59774.0</v>
      </c>
    </row>
    <row r="182">
      <c r="A182" s="16" t="s">
        <v>639</v>
      </c>
      <c r="B182" s="16" t="s">
        <v>374</v>
      </c>
      <c r="C182" s="17">
        <v>41305.0</v>
      </c>
      <c r="D182" s="1" t="s">
        <v>373</v>
      </c>
      <c r="E182" s="1" t="s">
        <v>374</v>
      </c>
      <c r="F182" s="1" t="s">
        <v>375</v>
      </c>
      <c r="G182" s="18">
        <v>12450.0</v>
      </c>
    </row>
    <row r="183">
      <c r="A183" s="16" t="s">
        <v>639</v>
      </c>
      <c r="B183" s="16" t="s">
        <v>376</v>
      </c>
      <c r="C183" s="17">
        <v>53589.0</v>
      </c>
      <c r="D183" s="1" t="s">
        <v>373</v>
      </c>
      <c r="E183" s="1" t="s">
        <v>376</v>
      </c>
      <c r="F183" s="1" t="s">
        <v>377</v>
      </c>
      <c r="G183" s="18">
        <v>38408.0</v>
      </c>
    </row>
    <row r="184">
      <c r="A184" s="16" t="s">
        <v>639</v>
      </c>
      <c r="B184" s="16" t="s">
        <v>378</v>
      </c>
      <c r="C184" s="17">
        <v>63551.0</v>
      </c>
      <c r="D184" s="1" t="s">
        <v>373</v>
      </c>
      <c r="E184" s="1" t="s">
        <v>378</v>
      </c>
      <c r="F184" s="1" t="s">
        <v>379</v>
      </c>
      <c r="G184" s="18">
        <v>40051.0</v>
      </c>
    </row>
    <row r="185">
      <c r="A185" s="16" t="s">
        <v>639</v>
      </c>
      <c r="B185" s="16" t="s">
        <v>380</v>
      </c>
      <c r="C185" s="17">
        <v>36924.0</v>
      </c>
      <c r="D185" s="1" t="s">
        <v>373</v>
      </c>
      <c r="E185" s="1" t="s">
        <v>380</v>
      </c>
      <c r="F185" s="1" t="s">
        <v>381</v>
      </c>
      <c r="G185" s="18">
        <v>22724.0</v>
      </c>
    </row>
    <row r="186">
      <c r="A186" s="16" t="s">
        <v>639</v>
      </c>
      <c r="B186" s="16" t="s">
        <v>382</v>
      </c>
      <c r="C186" s="17">
        <v>75229.0</v>
      </c>
      <c r="D186" s="1" t="s">
        <v>373</v>
      </c>
      <c r="E186" s="1" t="s">
        <v>382</v>
      </c>
      <c r="F186" s="1" t="s">
        <v>383</v>
      </c>
      <c r="G186" s="18">
        <v>66317.0</v>
      </c>
    </row>
    <row r="187">
      <c r="A187" s="16" t="s">
        <v>639</v>
      </c>
      <c r="B187" s="16" t="s">
        <v>384</v>
      </c>
      <c r="C187" s="17">
        <v>137773.0</v>
      </c>
      <c r="D187" s="1" t="s">
        <v>373</v>
      </c>
      <c r="E187" s="1" t="s">
        <v>384</v>
      </c>
      <c r="F187" s="1" t="s">
        <v>385</v>
      </c>
      <c r="G187" s="18">
        <v>71426.0</v>
      </c>
    </row>
    <row r="188">
      <c r="A188" s="16" t="s">
        <v>639</v>
      </c>
      <c r="B188" s="16" t="s">
        <v>386</v>
      </c>
      <c r="C188" s="17">
        <v>41337.0</v>
      </c>
      <c r="D188" s="1" t="s">
        <v>373</v>
      </c>
      <c r="E188" s="1" t="s">
        <v>386</v>
      </c>
      <c r="F188" s="1" t="s">
        <v>387</v>
      </c>
      <c r="G188" s="18">
        <v>25866.0</v>
      </c>
    </row>
    <row r="189">
      <c r="A189" s="16" t="s">
        <v>639</v>
      </c>
      <c r="B189" s="16" t="s">
        <v>388</v>
      </c>
      <c r="C189" s="17">
        <v>42943.0</v>
      </c>
      <c r="D189" s="1" t="s">
        <v>373</v>
      </c>
      <c r="E189" s="1" t="s">
        <v>388</v>
      </c>
      <c r="F189" s="1" t="s">
        <v>389</v>
      </c>
      <c r="G189" s="18">
        <v>25682.0</v>
      </c>
    </row>
    <row r="190">
      <c r="A190" s="16" t="s">
        <v>639</v>
      </c>
      <c r="B190" s="16" t="s">
        <v>640</v>
      </c>
      <c r="C190" s="17">
        <v>96148.0</v>
      </c>
      <c r="D190" s="1" t="s">
        <v>373</v>
      </c>
      <c r="E190" s="1" t="s">
        <v>390</v>
      </c>
      <c r="F190" s="1" t="s">
        <v>391</v>
      </c>
      <c r="G190" s="18">
        <v>25473.0</v>
      </c>
    </row>
    <row r="191">
      <c r="A191" s="16" t="s">
        <v>639</v>
      </c>
      <c r="B191" s="16" t="s">
        <v>390</v>
      </c>
      <c r="C191" s="17">
        <v>41155.0</v>
      </c>
      <c r="D191" s="1" t="s">
        <v>373</v>
      </c>
      <c r="E191" s="1" t="s">
        <v>392</v>
      </c>
      <c r="F191" s="1" t="s">
        <v>393</v>
      </c>
      <c r="G191" s="18">
        <v>31792.0</v>
      </c>
    </row>
    <row r="192">
      <c r="A192" s="16" t="s">
        <v>639</v>
      </c>
      <c r="B192" s="16" t="s">
        <v>392</v>
      </c>
      <c r="C192" s="17">
        <v>43527.0</v>
      </c>
      <c r="D192" s="1" t="s">
        <v>373</v>
      </c>
      <c r="E192" s="1" t="s">
        <v>394</v>
      </c>
      <c r="F192" s="1" t="s">
        <v>395</v>
      </c>
      <c r="G192" s="18">
        <v>39338.0</v>
      </c>
    </row>
    <row r="193">
      <c r="A193" s="16" t="s">
        <v>639</v>
      </c>
      <c r="B193" s="16" t="s">
        <v>394</v>
      </c>
      <c r="C193" s="17">
        <v>29216.0</v>
      </c>
      <c r="D193" s="1" t="s">
        <v>373</v>
      </c>
      <c r="E193" s="1" t="s">
        <v>396</v>
      </c>
      <c r="F193" s="1" t="s">
        <v>397</v>
      </c>
      <c r="G193" s="18">
        <v>18252.0</v>
      </c>
    </row>
    <row r="194">
      <c r="A194" s="16" t="s">
        <v>639</v>
      </c>
      <c r="B194" s="16" t="s">
        <v>396</v>
      </c>
      <c r="C194" s="17">
        <v>21443.0</v>
      </c>
      <c r="D194" s="1" t="s">
        <v>373</v>
      </c>
      <c r="E194" s="1" t="s">
        <v>398</v>
      </c>
      <c r="F194" s="1" t="s">
        <v>399</v>
      </c>
      <c r="G194" s="18">
        <v>33589.0</v>
      </c>
    </row>
    <row r="195">
      <c r="A195" s="16" t="s">
        <v>639</v>
      </c>
      <c r="B195" s="16" t="s">
        <v>398</v>
      </c>
      <c r="C195" s="17">
        <v>45814.0</v>
      </c>
      <c r="D195" s="1" t="s">
        <v>373</v>
      </c>
      <c r="E195" s="1" t="s">
        <v>400</v>
      </c>
      <c r="F195" s="1" t="s">
        <v>401</v>
      </c>
      <c r="G195" s="18">
        <v>32864.0</v>
      </c>
    </row>
    <row r="196">
      <c r="A196" s="16" t="s">
        <v>639</v>
      </c>
      <c r="B196" s="16" t="s">
        <v>400</v>
      </c>
      <c r="C196" s="17">
        <v>40671.0</v>
      </c>
      <c r="D196" s="1" t="s">
        <v>373</v>
      </c>
      <c r="E196" s="1" t="s">
        <v>402</v>
      </c>
      <c r="F196" s="1" t="s">
        <v>403</v>
      </c>
      <c r="G196" s="18">
        <v>44381.0</v>
      </c>
    </row>
    <row r="197">
      <c r="A197" s="16" t="s">
        <v>639</v>
      </c>
      <c r="B197" s="16" t="s">
        <v>402</v>
      </c>
      <c r="C197" s="17">
        <v>47297.0</v>
      </c>
      <c r="D197" s="1" t="s">
        <v>373</v>
      </c>
      <c r="E197" s="1" t="s">
        <v>404</v>
      </c>
      <c r="F197" s="1" t="s">
        <v>405</v>
      </c>
      <c r="G197" s="18">
        <v>26827.0</v>
      </c>
    </row>
    <row r="198">
      <c r="A198" s="16" t="s">
        <v>639</v>
      </c>
      <c r="B198" s="16" t="s">
        <v>404</v>
      </c>
      <c r="C198" s="17">
        <v>35688.0</v>
      </c>
      <c r="D198" s="1" t="s">
        <v>373</v>
      </c>
      <c r="E198" s="1" t="s">
        <v>406</v>
      </c>
      <c r="F198" s="1" t="s">
        <v>407</v>
      </c>
      <c r="G198" s="18">
        <v>39406.0</v>
      </c>
    </row>
    <row r="199">
      <c r="A199" s="16" t="s">
        <v>639</v>
      </c>
      <c r="B199" s="16" t="s">
        <v>406</v>
      </c>
      <c r="C199" s="17">
        <v>39381.0</v>
      </c>
      <c r="D199" s="1" t="s">
        <v>373</v>
      </c>
      <c r="E199" s="1" t="s">
        <v>408</v>
      </c>
      <c r="F199" s="1" t="s">
        <v>409</v>
      </c>
      <c r="G199" s="18">
        <v>31566.0</v>
      </c>
    </row>
    <row r="200">
      <c r="A200" s="16" t="s">
        <v>639</v>
      </c>
      <c r="B200" s="16" t="s">
        <v>408</v>
      </c>
      <c r="C200" s="17">
        <v>38614.0</v>
      </c>
      <c r="D200" s="1" t="s">
        <v>373</v>
      </c>
      <c r="E200" s="1" t="s">
        <v>410</v>
      </c>
      <c r="F200" s="4" t="s">
        <v>411</v>
      </c>
      <c r="G200" s="18">
        <v>66378.0</v>
      </c>
    </row>
    <row r="201">
      <c r="A201" s="16" t="s">
        <v>639</v>
      </c>
      <c r="B201" s="16" t="s">
        <v>412</v>
      </c>
      <c r="C201" s="17">
        <v>10347.0</v>
      </c>
      <c r="D201" s="1" t="s">
        <v>373</v>
      </c>
      <c r="E201" s="1" t="s">
        <v>412</v>
      </c>
      <c r="F201" s="1" t="s">
        <v>413</v>
      </c>
      <c r="G201" s="18">
        <v>28679.0</v>
      </c>
    </row>
    <row r="202">
      <c r="A202" s="16" t="s">
        <v>639</v>
      </c>
      <c r="B202" s="16" t="s">
        <v>414</v>
      </c>
      <c r="C202" s="17">
        <v>56775.0</v>
      </c>
      <c r="D202" s="1" t="s">
        <v>373</v>
      </c>
      <c r="E202" s="1" t="s">
        <v>414</v>
      </c>
      <c r="F202" s="1" t="s">
        <v>415</v>
      </c>
      <c r="G202" s="18">
        <v>47081.0</v>
      </c>
    </row>
    <row r="203">
      <c r="A203" s="16" t="s">
        <v>557</v>
      </c>
      <c r="B203" s="16" t="s">
        <v>417</v>
      </c>
      <c r="C203" s="17">
        <v>21275.0</v>
      </c>
      <c r="D203" s="1" t="s">
        <v>416</v>
      </c>
      <c r="E203" s="1" t="s">
        <v>417</v>
      </c>
      <c r="F203" s="1" t="s">
        <v>418</v>
      </c>
      <c r="G203" s="18">
        <v>16386.0</v>
      </c>
    </row>
    <row r="204">
      <c r="A204" s="16" t="s">
        <v>557</v>
      </c>
      <c r="B204" s="16" t="s">
        <v>419</v>
      </c>
      <c r="C204" s="17">
        <v>57656.0</v>
      </c>
      <c r="D204" s="1" t="s">
        <v>416</v>
      </c>
      <c r="E204" s="1" t="s">
        <v>419</v>
      </c>
      <c r="F204" s="1" t="s">
        <v>420</v>
      </c>
      <c r="G204" s="18">
        <v>37941.0</v>
      </c>
    </row>
    <row r="205">
      <c r="A205" s="16" t="s">
        <v>557</v>
      </c>
      <c r="B205" s="16" t="s">
        <v>641</v>
      </c>
      <c r="C205" s="17">
        <v>53203.0</v>
      </c>
      <c r="D205" s="1" t="s">
        <v>416</v>
      </c>
      <c r="E205" s="1" t="s">
        <v>421</v>
      </c>
      <c r="F205" s="4" t="s">
        <v>422</v>
      </c>
      <c r="G205" s="18">
        <v>54054.0</v>
      </c>
    </row>
    <row r="206">
      <c r="A206" s="16" t="s">
        <v>557</v>
      </c>
      <c r="B206" s="16" t="s">
        <v>423</v>
      </c>
      <c r="C206" s="17">
        <v>65208.0</v>
      </c>
      <c r="D206" s="1" t="s">
        <v>416</v>
      </c>
      <c r="E206" s="1" t="s">
        <v>423</v>
      </c>
      <c r="F206" s="1" t="s">
        <v>424</v>
      </c>
      <c r="G206" s="18">
        <v>56019.0</v>
      </c>
    </row>
    <row r="207">
      <c r="A207" s="16" t="s">
        <v>557</v>
      </c>
      <c r="B207" s="16" t="s">
        <v>425</v>
      </c>
      <c r="C207" s="17">
        <v>33123.0</v>
      </c>
      <c r="D207" s="1" t="s">
        <v>416</v>
      </c>
      <c r="E207" s="1" t="s">
        <v>425</v>
      </c>
      <c r="F207" s="1" t="s">
        <v>426</v>
      </c>
      <c r="G207" s="18">
        <v>36347.0</v>
      </c>
    </row>
    <row r="208">
      <c r="A208" s="16" t="s">
        <v>557</v>
      </c>
      <c r="B208" s="16" t="s">
        <v>427</v>
      </c>
      <c r="C208" s="17">
        <v>21282.0</v>
      </c>
      <c r="D208" s="1" t="s">
        <v>416</v>
      </c>
      <c r="E208" s="1" t="s">
        <v>427</v>
      </c>
      <c r="F208" s="1" t="s">
        <v>428</v>
      </c>
      <c r="G208" s="18">
        <v>16636.0</v>
      </c>
    </row>
    <row r="209">
      <c r="A209" s="16" t="s">
        <v>557</v>
      </c>
      <c r="B209" s="16" t="s">
        <v>429</v>
      </c>
      <c r="C209" s="17">
        <v>61453.0</v>
      </c>
      <c r="D209" s="1" t="s">
        <v>416</v>
      </c>
      <c r="E209" s="1" t="s">
        <v>429</v>
      </c>
      <c r="F209" s="1" t="s">
        <v>430</v>
      </c>
      <c r="G209" s="18">
        <v>45417.0</v>
      </c>
    </row>
    <row r="210">
      <c r="A210" s="16" t="s">
        <v>557</v>
      </c>
      <c r="B210" s="16" t="s">
        <v>431</v>
      </c>
      <c r="C210" s="17">
        <v>56328.0</v>
      </c>
      <c r="D210" s="1" t="s">
        <v>416</v>
      </c>
      <c r="E210" s="1" t="s">
        <v>431</v>
      </c>
      <c r="F210" s="1" t="s">
        <v>432</v>
      </c>
      <c r="G210" s="18">
        <v>44528.0</v>
      </c>
    </row>
    <row r="211">
      <c r="A211" s="16" t="s">
        <v>557</v>
      </c>
      <c r="B211" s="16" t="s">
        <v>433</v>
      </c>
      <c r="C211" s="17">
        <v>29968.0</v>
      </c>
      <c r="D211" s="1" t="s">
        <v>416</v>
      </c>
      <c r="E211" s="1" t="s">
        <v>433</v>
      </c>
      <c r="F211" s="1" t="s">
        <v>434</v>
      </c>
      <c r="G211" s="18">
        <v>20436.0</v>
      </c>
    </row>
    <row r="212">
      <c r="A212" s="16" t="s">
        <v>557</v>
      </c>
      <c r="B212" s="16" t="s">
        <v>435</v>
      </c>
      <c r="C212" s="17">
        <v>35604.0</v>
      </c>
      <c r="D212" s="1" t="s">
        <v>416</v>
      </c>
      <c r="E212" s="1" t="s">
        <v>435</v>
      </c>
      <c r="F212" s="1" t="s">
        <v>436</v>
      </c>
      <c r="G212" s="18">
        <v>14946.0</v>
      </c>
    </row>
    <row r="213">
      <c r="A213" s="16" t="s">
        <v>557</v>
      </c>
      <c r="B213" s="16" t="s">
        <v>437</v>
      </c>
      <c r="C213" s="17">
        <v>69749.0</v>
      </c>
      <c r="D213" s="1" t="s">
        <v>416</v>
      </c>
      <c r="E213" s="1" t="s">
        <v>437</v>
      </c>
      <c r="F213" s="1" t="s">
        <v>438</v>
      </c>
      <c r="G213" s="18">
        <v>42916.0</v>
      </c>
    </row>
    <row r="214">
      <c r="A214" s="16" t="s">
        <v>557</v>
      </c>
      <c r="B214" s="16" t="s">
        <v>439</v>
      </c>
      <c r="C214" s="17">
        <v>40119.0</v>
      </c>
      <c r="D214" s="1" t="s">
        <v>416</v>
      </c>
      <c r="E214" s="1" t="s">
        <v>439</v>
      </c>
      <c r="F214" s="1" t="s">
        <v>440</v>
      </c>
      <c r="G214" s="18">
        <v>25700.0</v>
      </c>
    </row>
    <row r="215">
      <c r="A215" s="16" t="s">
        <v>557</v>
      </c>
      <c r="B215" s="16" t="s">
        <v>441</v>
      </c>
      <c r="C215" s="17">
        <v>57072.0</v>
      </c>
      <c r="D215" s="1" t="s">
        <v>416</v>
      </c>
      <c r="E215" s="1" t="s">
        <v>441</v>
      </c>
      <c r="F215" s="1" t="s">
        <v>442</v>
      </c>
      <c r="G215" s="18">
        <v>50476.0</v>
      </c>
    </row>
    <row r="216">
      <c r="A216" s="16" t="s">
        <v>557</v>
      </c>
      <c r="B216" s="16" t="s">
        <v>443</v>
      </c>
      <c r="C216" s="17">
        <v>31655.0</v>
      </c>
      <c r="D216" s="1" t="s">
        <v>416</v>
      </c>
      <c r="E216" s="1" t="s">
        <v>443</v>
      </c>
      <c r="F216" s="1" t="s">
        <v>444</v>
      </c>
      <c r="G216" s="18">
        <v>26954.0</v>
      </c>
    </row>
    <row r="217">
      <c r="A217" s="16" t="s">
        <v>557</v>
      </c>
      <c r="B217" s="16" t="s">
        <v>445</v>
      </c>
      <c r="C217" s="17">
        <v>13738.0</v>
      </c>
      <c r="D217" s="1" t="s">
        <v>416</v>
      </c>
      <c r="E217" s="1" t="s">
        <v>445</v>
      </c>
      <c r="F217" s="1" t="s">
        <v>446</v>
      </c>
      <c r="G217" s="18">
        <v>18902.0</v>
      </c>
    </row>
    <row r="218">
      <c r="A218" s="16" t="s">
        <v>557</v>
      </c>
      <c r="B218" s="16" t="s">
        <v>447</v>
      </c>
      <c r="C218" s="17">
        <v>81948.0</v>
      </c>
      <c r="D218" s="1" t="s">
        <v>416</v>
      </c>
      <c r="E218" s="1" t="s">
        <v>447</v>
      </c>
      <c r="F218" s="1" t="s">
        <v>448</v>
      </c>
      <c r="G218" s="18">
        <v>30579.0</v>
      </c>
    </row>
    <row r="219">
      <c r="A219" s="16" t="s">
        <v>557</v>
      </c>
      <c r="B219" s="16" t="s">
        <v>449</v>
      </c>
      <c r="C219" s="17">
        <v>32186.0</v>
      </c>
      <c r="D219" s="1" t="s">
        <v>416</v>
      </c>
      <c r="E219" s="1" t="s">
        <v>449</v>
      </c>
      <c r="F219" s="1" t="s">
        <v>450</v>
      </c>
      <c r="G219" s="18">
        <v>36138.0</v>
      </c>
    </row>
    <row r="220">
      <c r="A220" s="16" t="s">
        <v>557</v>
      </c>
      <c r="B220" s="16" t="s">
        <v>451</v>
      </c>
      <c r="C220" s="17">
        <v>65259.0</v>
      </c>
      <c r="D220" s="1" t="s">
        <v>416</v>
      </c>
      <c r="E220" s="1" t="s">
        <v>451</v>
      </c>
      <c r="F220" s="1" t="s">
        <v>452</v>
      </c>
      <c r="G220" s="18">
        <v>39391.0</v>
      </c>
    </row>
    <row r="221">
      <c r="A221" s="16" t="s">
        <v>557</v>
      </c>
      <c r="B221" s="16" t="s">
        <v>453</v>
      </c>
      <c r="C221" s="17">
        <v>42998.0</v>
      </c>
      <c r="D221" s="1" t="s">
        <v>416</v>
      </c>
      <c r="E221" s="1" t="s">
        <v>453</v>
      </c>
      <c r="F221" s="1" t="s">
        <v>454</v>
      </c>
      <c r="G221" s="18">
        <v>24800.0</v>
      </c>
    </row>
    <row r="222">
      <c r="A222" s="16" t="s">
        <v>557</v>
      </c>
      <c r="B222" s="16" t="s">
        <v>455</v>
      </c>
      <c r="C222" s="17">
        <v>18569.0</v>
      </c>
      <c r="D222" s="1" t="s">
        <v>416</v>
      </c>
      <c r="E222" s="1" t="s">
        <v>455</v>
      </c>
      <c r="F222" s="1" t="s">
        <v>456</v>
      </c>
      <c r="G222" s="18">
        <v>16242.0</v>
      </c>
    </row>
    <row r="223">
      <c r="A223" s="16" t="s">
        <v>557</v>
      </c>
      <c r="B223" s="16" t="s">
        <v>457</v>
      </c>
      <c r="C223" s="17">
        <v>203253.0</v>
      </c>
      <c r="D223" s="1" t="s">
        <v>416</v>
      </c>
      <c r="E223" s="1" t="s">
        <v>457</v>
      </c>
      <c r="F223" s="1" t="s">
        <v>458</v>
      </c>
      <c r="G223" s="18">
        <v>64654.0</v>
      </c>
    </row>
    <row r="224">
      <c r="A224" s="16" t="s">
        <v>557</v>
      </c>
      <c r="B224" s="16" t="s">
        <v>459</v>
      </c>
      <c r="C224" s="17">
        <v>29470.0</v>
      </c>
      <c r="D224" s="1" t="s">
        <v>416</v>
      </c>
      <c r="E224" s="1" t="s">
        <v>459</v>
      </c>
      <c r="F224" s="1" t="s">
        <v>460</v>
      </c>
      <c r="G224" s="18">
        <v>30240.0</v>
      </c>
    </row>
    <row r="225">
      <c r="A225" s="16" t="s">
        <v>557</v>
      </c>
      <c r="B225" s="16" t="s">
        <v>461</v>
      </c>
      <c r="C225" s="17">
        <v>53414.0</v>
      </c>
      <c r="D225" s="1" t="s">
        <v>416</v>
      </c>
      <c r="E225" s="1" t="s">
        <v>461</v>
      </c>
      <c r="F225" s="1" t="s">
        <v>462</v>
      </c>
      <c r="G225" s="18">
        <v>20122.0</v>
      </c>
    </row>
    <row r="226">
      <c r="A226" s="16" t="s">
        <v>556</v>
      </c>
      <c r="B226" s="16" t="s">
        <v>464</v>
      </c>
      <c r="C226" s="17">
        <v>11426.0</v>
      </c>
      <c r="D226" s="1" t="s">
        <v>463</v>
      </c>
      <c r="E226" s="1" t="s">
        <v>464</v>
      </c>
      <c r="F226" s="1" t="s">
        <v>465</v>
      </c>
      <c r="G226" s="18">
        <v>41562.0</v>
      </c>
    </row>
    <row r="227">
      <c r="A227" s="16" t="s">
        <v>556</v>
      </c>
      <c r="B227" s="16" t="s">
        <v>466</v>
      </c>
      <c r="C227" s="17">
        <v>55560.0</v>
      </c>
      <c r="D227" s="1" t="s">
        <v>463</v>
      </c>
      <c r="E227" s="1" t="s">
        <v>466</v>
      </c>
      <c r="F227" s="1" t="s">
        <v>467</v>
      </c>
      <c r="G227" s="18">
        <v>36652.0</v>
      </c>
    </row>
    <row r="228">
      <c r="A228" s="16" t="s">
        <v>556</v>
      </c>
      <c r="B228" s="16" t="s">
        <v>468</v>
      </c>
      <c r="C228" s="17">
        <v>93210.0</v>
      </c>
      <c r="D228" s="1" t="s">
        <v>463</v>
      </c>
      <c r="E228" s="1" t="s">
        <v>468</v>
      </c>
      <c r="F228" s="1" t="s">
        <v>469</v>
      </c>
      <c r="G228" s="18">
        <v>67321.0</v>
      </c>
    </row>
    <row r="229">
      <c r="A229" s="16" t="s">
        <v>556</v>
      </c>
      <c r="B229" s="16" t="s">
        <v>470</v>
      </c>
      <c r="C229" s="17">
        <v>33981.0</v>
      </c>
      <c r="D229" s="1" t="s">
        <v>463</v>
      </c>
      <c r="E229" s="1" t="s">
        <v>470</v>
      </c>
      <c r="F229" s="1" t="s">
        <v>471</v>
      </c>
      <c r="G229" s="18">
        <v>59647.0</v>
      </c>
    </row>
    <row r="230">
      <c r="A230" s="16" t="s">
        <v>556</v>
      </c>
      <c r="B230" s="16" t="s">
        <v>472</v>
      </c>
      <c r="C230" s="17">
        <v>83318.0</v>
      </c>
      <c r="D230" s="1" t="s">
        <v>463</v>
      </c>
      <c r="E230" s="1" t="s">
        <v>472</v>
      </c>
      <c r="F230" s="1" t="s">
        <v>473</v>
      </c>
      <c r="G230" s="18">
        <v>91868.0</v>
      </c>
    </row>
    <row r="231">
      <c r="A231" s="16" t="s">
        <v>556</v>
      </c>
      <c r="B231" s="16" t="s">
        <v>474</v>
      </c>
      <c r="C231" s="17">
        <v>59380.0</v>
      </c>
      <c r="D231" s="1" t="s">
        <v>463</v>
      </c>
      <c r="E231" s="1" t="s">
        <v>474</v>
      </c>
      <c r="F231" s="1" t="s">
        <v>475</v>
      </c>
      <c r="G231" s="18">
        <v>46495.0</v>
      </c>
    </row>
    <row r="232">
      <c r="A232" s="16" t="s">
        <v>556</v>
      </c>
      <c r="B232" s="16" t="s">
        <v>476</v>
      </c>
      <c r="C232" s="17">
        <v>35933.0</v>
      </c>
      <c r="D232" s="1" t="s">
        <v>463</v>
      </c>
      <c r="E232" s="1" t="s">
        <v>476</v>
      </c>
      <c r="F232" s="1" t="s">
        <v>477</v>
      </c>
      <c r="G232" s="18">
        <v>46486.0</v>
      </c>
    </row>
    <row r="233">
      <c r="A233" s="16" t="s">
        <v>556</v>
      </c>
      <c r="B233" s="16" t="s">
        <v>478</v>
      </c>
      <c r="C233" s="17">
        <v>33954.0</v>
      </c>
      <c r="D233" s="1" t="s">
        <v>463</v>
      </c>
      <c r="E233" s="1" t="s">
        <v>478</v>
      </c>
      <c r="F233" s="1" t="s">
        <v>479</v>
      </c>
      <c r="G233" s="18">
        <v>54998.0</v>
      </c>
    </row>
    <row r="234">
      <c r="A234" s="16" t="s">
        <v>556</v>
      </c>
      <c r="B234" s="16" t="s">
        <v>480</v>
      </c>
      <c r="C234" s="17">
        <v>66622.0</v>
      </c>
      <c r="D234" s="1" t="s">
        <v>463</v>
      </c>
      <c r="E234" s="1" t="s">
        <v>480</v>
      </c>
      <c r="F234" s="1" t="s">
        <v>481</v>
      </c>
      <c r="G234" s="18">
        <v>52119.0</v>
      </c>
    </row>
    <row r="235">
      <c r="A235" s="16" t="s">
        <v>556</v>
      </c>
      <c r="B235" s="16" t="s">
        <v>482</v>
      </c>
      <c r="C235" s="17">
        <v>43906.0</v>
      </c>
      <c r="D235" s="1" t="s">
        <v>463</v>
      </c>
      <c r="E235" s="1" t="s">
        <v>482</v>
      </c>
      <c r="F235" s="1" t="s">
        <v>483</v>
      </c>
      <c r="G235" s="18">
        <v>28599.0</v>
      </c>
    </row>
    <row r="236">
      <c r="A236" s="16" t="s">
        <v>556</v>
      </c>
      <c r="B236" s="16" t="s">
        <v>484</v>
      </c>
      <c r="C236" s="17">
        <v>16556.0</v>
      </c>
      <c r="D236" s="1" t="s">
        <v>463</v>
      </c>
      <c r="E236" s="1" t="s">
        <v>484</v>
      </c>
      <c r="F236" s="1" t="s">
        <v>485</v>
      </c>
      <c r="G236" s="18">
        <v>20223.0</v>
      </c>
    </row>
    <row r="237">
      <c r="A237" s="16" t="s">
        <v>556</v>
      </c>
      <c r="B237" s="16" t="s">
        <v>486</v>
      </c>
      <c r="C237" s="17">
        <v>78485.0</v>
      </c>
      <c r="D237" s="1" t="s">
        <v>463</v>
      </c>
      <c r="E237" s="1" t="s">
        <v>486</v>
      </c>
      <c r="F237" s="1" t="s">
        <v>487</v>
      </c>
      <c r="G237" s="18">
        <v>39440.0</v>
      </c>
    </row>
    <row r="238">
      <c r="A238" s="16" t="s">
        <v>556</v>
      </c>
      <c r="B238" s="16" t="s">
        <v>488</v>
      </c>
      <c r="C238" s="17">
        <v>43863.0</v>
      </c>
      <c r="D238" s="1" t="s">
        <v>463</v>
      </c>
      <c r="E238" s="1" t="s">
        <v>488</v>
      </c>
      <c r="F238" s="1" t="s">
        <v>489</v>
      </c>
      <c r="G238" s="18">
        <v>39922.0</v>
      </c>
    </row>
    <row r="239">
      <c r="A239" s="16" t="s">
        <v>556</v>
      </c>
      <c r="B239" s="16" t="s">
        <v>490</v>
      </c>
      <c r="C239" s="17">
        <v>56031.0</v>
      </c>
      <c r="D239" s="1" t="s">
        <v>463</v>
      </c>
      <c r="E239" s="1" t="s">
        <v>490</v>
      </c>
      <c r="F239" s="1" t="s">
        <v>491</v>
      </c>
      <c r="G239" s="18">
        <v>111121.0</v>
      </c>
    </row>
    <row r="240">
      <c r="A240" s="16" t="s">
        <v>556</v>
      </c>
      <c r="B240" s="16" t="s">
        <v>492</v>
      </c>
      <c r="C240" s="17">
        <v>47795.0</v>
      </c>
      <c r="D240" s="1" t="s">
        <v>463</v>
      </c>
      <c r="E240" s="1" t="s">
        <v>492</v>
      </c>
      <c r="F240" s="1" t="s">
        <v>493</v>
      </c>
      <c r="G240" s="18">
        <v>23631.0</v>
      </c>
    </row>
    <row r="241">
      <c r="A241" s="16" t="s">
        <v>556</v>
      </c>
      <c r="B241" s="16" t="s">
        <v>494</v>
      </c>
      <c r="C241" s="17">
        <v>50188.0</v>
      </c>
      <c r="D241" s="1" t="s">
        <v>463</v>
      </c>
      <c r="E241" s="1" t="s">
        <v>494</v>
      </c>
      <c r="F241" s="1" t="s">
        <v>495</v>
      </c>
      <c r="G241" s="18">
        <v>46146.0</v>
      </c>
    </row>
    <row r="242">
      <c r="A242" s="16" t="s">
        <v>556</v>
      </c>
      <c r="B242" s="16" t="s">
        <v>496</v>
      </c>
      <c r="C242" s="17">
        <v>51309.0</v>
      </c>
      <c r="D242" s="1" t="s">
        <v>463</v>
      </c>
      <c r="E242" s="1" t="s">
        <v>496</v>
      </c>
      <c r="F242" s="1" t="s">
        <v>497</v>
      </c>
      <c r="G242" s="18">
        <v>47798.0</v>
      </c>
    </row>
    <row r="243">
      <c r="A243" s="16" t="s">
        <v>642</v>
      </c>
      <c r="B243" s="16" t="s">
        <v>499</v>
      </c>
      <c r="C243" s="17">
        <v>32080.0</v>
      </c>
      <c r="D243" s="1" t="s">
        <v>498</v>
      </c>
      <c r="E243" s="1" t="s">
        <v>499</v>
      </c>
      <c r="F243" s="1" t="s">
        <v>500</v>
      </c>
      <c r="G243" s="18">
        <v>17825.0</v>
      </c>
    </row>
    <row r="244">
      <c r="A244" s="16" t="s">
        <v>642</v>
      </c>
      <c r="B244" s="16" t="s">
        <v>501</v>
      </c>
      <c r="C244" s="17">
        <v>76466.0</v>
      </c>
      <c r="D244" s="1" t="s">
        <v>498</v>
      </c>
      <c r="E244" s="1" t="s">
        <v>501</v>
      </c>
      <c r="F244" s="1" t="s">
        <v>502</v>
      </c>
      <c r="G244" s="18">
        <v>21273.0</v>
      </c>
    </row>
    <row r="245">
      <c r="A245" s="16" t="s">
        <v>642</v>
      </c>
      <c r="B245" s="16" t="s">
        <v>630</v>
      </c>
      <c r="C245" s="17">
        <v>29861.0</v>
      </c>
      <c r="D245" s="1" t="s">
        <v>498</v>
      </c>
      <c r="E245" s="1" t="s">
        <v>503</v>
      </c>
      <c r="F245" s="3" t="s">
        <v>504</v>
      </c>
      <c r="G245" s="18">
        <v>33255.0</v>
      </c>
    </row>
    <row r="246">
      <c r="A246" s="16" t="s">
        <v>642</v>
      </c>
      <c r="B246" s="16" t="s">
        <v>505</v>
      </c>
      <c r="C246" s="17">
        <v>58891.0</v>
      </c>
      <c r="D246" s="1" t="s">
        <v>498</v>
      </c>
      <c r="E246" s="1" t="s">
        <v>505</v>
      </c>
      <c r="F246" s="1" t="s">
        <v>506</v>
      </c>
      <c r="G246" s="18">
        <v>31542.0</v>
      </c>
    </row>
    <row r="247">
      <c r="A247" s="16" t="s">
        <v>642</v>
      </c>
      <c r="B247" s="16" t="s">
        <v>507</v>
      </c>
      <c r="C247" s="17">
        <v>112262.0</v>
      </c>
      <c r="D247" s="1" t="s">
        <v>498</v>
      </c>
      <c r="E247" s="1" t="s">
        <v>507</v>
      </c>
      <c r="F247" s="1" t="s">
        <v>508</v>
      </c>
      <c r="G247" s="18">
        <v>68606.0</v>
      </c>
    </row>
    <row r="248">
      <c r="A248" s="16" t="s">
        <v>642</v>
      </c>
      <c r="B248" s="16" t="s">
        <v>509</v>
      </c>
      <c r="C248" s="17">
        <v>80013.0</v>
      </c>
      <c r="D248" s="1" t="s">
        <v>498</v>
      </c>
      <c r="E248" s="1" t="s">
        <v>509</v>
      </c>
      <c r="F248" s="1" t="s">
        <v>510</v>
      </c>
      <c r="G248" s="18">
        <v>44244.0</v>
      </c>
    </row>
    <row r="249">
      <c r="A249" s="16" t="s">
        <v>642</v>
      </c>
      <c r="B249" s="16" t="s">
        <v>511</v>
      </c>
      <c r="C249" s="17">
        <v>211754.0</v>
      </c>
      <c r="D249" s="1" t="s">
        <v>498</v>
      </c>
      <c r="E249" s="1" t="s">
        <v>511</v>
      </c>
      <c r="F249" s="1" t="s">
        <v>512</v>
      </c>
      <c r="G249" s="18">
        <v>101414.0</v>
      </c>
    </row>
    <row r="250">
      <c r="A250" s="16" t="s">
        <v>642</v>
      </c>
      <c r="B250" s="16" t="s">
        <v>513</v>
      </c>
      <c r="C250" s="17">
        <v>70815.0</v>
      </c>
      <c r="D250" s="1" t="s">
        <v>498</v>
      </c>
      <c r="E250" s="1" t="s">
        <v>513</v>
      </c>
      <c r="F250" s="1" t="s">
        <v>514</v>
      </c>
      <c r="G250" s="18">
        <v>52326.0</v>
      </c>
    </row>
    <row r="251">
      <c r="A251" s="16" t="s">
        <v>642</v>
      </c>
      <c r="B251" s="16" t="s">
        <v>515</v>
      </c>
      <c r="C251" s="17">
        <v>30254.0</v>
      </c>
      <c r="D251" s="1" t="s">
        <v>498</v>
      </c>
      <c r="E251" s="1" t="s">
        <v>515</v>
      </c>
      <c r="F251" s="1" t="s">
        <v>516</v>
      </c>
      <c r="G251" s="18">
        <v>27754.0</v>
      </c>
    </row>
    <row r="252">
      <c r="A252" s="16" t="s">
        <v>642</v>
      </c>
      <c r="B252" s="16" t="s">
        <v>517</v>
      </c>
      <c r="C252" s="17">
        <v>116639.0</v>
      </c>
      <c r="D252" s="1" t="s">
        <v>498</v>
      </c>
      <c r="E252" s="1" t="s">
        <v>517</v>
      </c>
      <c r="F252" s="1" t="s">
        <v>518</v>
      </c>
      <c r="G252" s="18">
        <v>58606.0</v>
      </c>
    </row>
    <row r="253">
      <c r="A253" s="16" t="s">
        <v>642</v>
      </c>
      <c r="B253" s="16" t="s">
        <v>519</v>
      </c>
      <c r="C253" s="17">
        <v>40375.0</v>
      </c>
      <c r="D253" s="1" t="s">
        <v>498</v>
      </c>
      <c r="E253" s="1" t="s">
        <v>519</v>
      </c>
      <c r="F253" s="1" t="s">
        <v>520</v>
      </c>
      <c r="G253" s="18">
        <v>20082.0</v>
      </c>
    </row>
    <row r="254">
      <c r="A254" s="16" t="s">
        <v>642</v>
      </c>
      <c r="B254" s="16" t="s">
        <v>521</v>
      </c>
      <c r="C254" s="17">
        <v>48405.0</v>
      </c>
      <c r="D254" s="1" t="s">
        <v>498</v>
      </c>
      <c r="E254" s="1" t="s">
        <v>521</v>
      </c>
      <c r="F254" s="1" t="s">
        <v>522</v>
      </c>
      <c r="G254" s="18">
        <v>36133.0</v>
      </c>
    </row>
    <row r="255">
      <c r="A255" s="16" t="s">
        <v>642</v>
      </c>
      <c r="B255" s="16" t="s">
        <v>523</v>
      </c>
      <c r="C255" s="17">
        <v>97219.0</v>
      </c>
      <c r="D255" s="1" t="s">
        <v>498</v>
      </c>
      <c r="E255" s="1" t="s">
        <v>523</v>
      </c>
      <c r="F255" s="1" t="s">
        <v>524</v>
      </c>
      <c r="G255" s="18">
        <v>63125.0</v>
      </c>
    </row>
    <row r="256">
      <c r="A256" s="16" t="s">
        <v>642</v>
      </c>
      <c r="B256" s="16" t="s">
        <v>525</v>
      </c>
      <c r="C256" s="17">
        <v>72277.0</v>
      </c>
      <c r="D256" s="1" t="s">
        <v>498</v>
      </c>
      <c r="E256" s="1" t="s">
        <v>525</v>
      </c>
      <c r="F256" s="1" t="s">
        <v>526</v>
      </c>
      <c r="G256" s="19">
        <v>43646.0</v>
      </c>
    </row>
    <row r="257">
      <c r="A257" s="16"/>
      <c r="B257" s="16"/>
      <c r="C257" s="16"/>
      <c r="D257" s="1" t="s">
        <v>498</v>
      </c>
      <c r="E257" s="1" t="s">
        <v>525</v>
      </c>
      <c r="F257" s="1" t="s">
        <v>526</v>
      </c>
      <c r="G257" s="19">
        <v>43646.0</v>
      </c>
    </row>
    <row r="258">
      <c r="A258" s="16"/>
      <c r="B258" s="16"/>
      <c r="C258" s="16"/>
    </row>
    <row r="259">
      <c r="A259" s="16"/>
      <c r="B259" s="16"/>
      <c r="C259" s="16"/>
    </row>
    <row r="260">
      <c r="A260" s="16"/>
      <c r="B260" s="16"/>
      <c r="C260" s="16"/>
    </row>
    <row r="261">
      <c r="A261" s="16"/>
      <c r="B261" s="16"/>
      <c r="C261" s="16"/>
    </row>
    <row r="262">
      <c r="A262" s="16"/>
      <c r="B262" s="16"/>
      <c r="C262" s="16"/>
    </row>
    <row r="263">
      <c r="A263" s="16"/>
      <c r="B263" s="16"/>
      <c r="C263" s="16"/>
    </row>
    <row r="264">
      <c r="A264" s="16"/>
      <c r="B264" s="16"/>
      <c r="C264" s="16"/>
    </row>
    <row r="265">
      <c r="A265" s="16"/>
      <c r="B265" s="16"/>
      <c r="C265" s="16"/>
    </row>
    <row r="266">
      <c r="A266" s="16"/>
      <c r="B266" s="16"/>
      <c r="C266" s="16"/>
    </row>
    <row r="267">
      <c r="A267" s="16"/>
      <c r="B267" s="16"/>
      <c r="C267" s="16"/>
    </row>
    <row r="268">
      <c r="A268" s="16"/>
      <c r="B268" s="16"/>
      <c r="C268" s="16"/>
    </row>
    <row r="269">
      <c r="A269" s="16"/>
      <c r="B269" s="16"/>
      <c r="C269" s="16"/>
    </row>
    <row r="270">
      <c r="A270" s="16"/>
      <c r="B270" s="16"/>
      <c r="C270" s="16"/>
    </row>
    <row r="271">
      <c r="A271" s="16"/>
      <c r="B271" s="16"/>
      <c r="C271" s="16"/>
    </row>
    <row r="272">
      <c r="A272" s="16"/>
      <c r="B272" s="16"/>
      <c r="C272" s="16"/>
    </row>
    <row r="273">
      <c r="A273" s="16"/>
      <c r="B273" s="16"/>
      <c r="C273" s="16"/>
    </row>
    <row r="274">
      <c r="A274" s="16"/>
      <c r="B274" s="16"/>
      <c r="C274" s="16"/>
    </row>
    <row r="275">
      <c r="A275" s="16"/>
      <c r="B275" s="16"/>
      <c r="C275" s="16"/>
    </row>
    <row r="276">
      <c r="A276" s="16"/>
      <c r="B276" s="16"/>
      <c r="C276" s="16"/>
    </row>
    <row r="277">
      <c r="A277" s="16"/>
      <c r="B277" s="16"/>
      <c r="C277" s="16"/>
    </row>
    <row r="278">
      <c r="A278" s="16"/>
      <c r="B278" s="16"/>
      <c r="C278" s="16"/>
    </row>
    <row r="279">
      <c r="A279" s="16"/>
      <c r="B279" s="16"/>
      <c r="C279" s="16"/>
    </row>
    <row r="280">
      <c r="A280" s="16"/>
      <c r="B280" s="16"/>
      <c r="C280" s="16"/>
    </row>
    <row r="281">
      <c r="A281" s="16"/>
      <c r="B281" s="16"/>
      <c r="C281" s="16"/>
    </row>
    <row r="282">
      <c r="A282" s="16"/>
      <c r="B282" s="16"/>
      <c r="C282" s="16"/>
    </row>
    <row r="283">
      <c r="A283" s="16"/>
      <c r="B283" s="16"/>
      <c r="C283" s="16"/>
    </row>
    <row r="284">
      <c r="A284" s="16"/>
      <c r="B284" s="16"/>
      <c r="C284" s="16"/>
    </row>
    <row r="285">
      <c r="A285" s="16"/>
      <c r="B285" s="16"/>
      <c r="C285" s="16"/>
    </row>
    <row r="286">
      <c r="A286" s="16"/>
      <c r="B286" s="16"/>
      <c r="C286" s="16"/>
    </row>
    <row r="287">
      <c r="A287" s="16"/>
      <c r="B287" s="16"/>
      <c r="C287" s="16"/>
    </row>
    <row r="288">
      <c r="A288" s="16"/>
      <c r="B288" s="16"/>
      <c r="C288" s="16"/>
    </row>
    <row r="289">
      <c r="A289" s="16"/>
      <c r="B289" s="16"/>
      <c r="C289" s="16"/>
    </row>
    <row r="290">
      <c r="A290" s="16"/>
      <c r="B290" s="16"/>
      <c r="C290" s="16"/>
    </row>
    <row r="291">
      <c r="A291" s="16"/>
      <c r="B291" s="16"/>
      <c r="C291" s="16"/>
    </row>
    <row r="292">
      <c r="A292" s="16"/>
      <c r="B292" s="16"/>
      <c r="C292" s="16"/>
    </row>
    <row r="293">
      <c r="A293" s="16"/>
      <c r="B293" s="16"/>
      <c r="C293" s="16"/>
    </row>
    <row r="294">
      <c r="A294" s="16"/>
      <c r="B294" s="16"/>
      <c r="C294" s="16"/>
    </row>
    <row r="295">
      <c r="A295" s="16"/>
      <c r="B295" s="16"/>
      <c r="C295" s="16"/>
    </row>
    <row r="296">
      <c r="A296" s="16"/>
      <c r="B296" s="16"/>
      <c r="C296" s="16"/>
    </row>
    <row r="297">
      <c r="A297" s="16"/>
      <c r="B297" s="16"/>
      <c r="C297" s="16"/>
    </row>
    <row r="298">
      <c r="A298" s="16"/>
      <c r="B298" s="16"/>
      <c r="C298" s="16"/>
    </row>
    <row r="299">
      <c r="A299" s="16"/>
      <c r="B299" s="16"/>
      <c r="C299" s="16"/>
    </row>
    <row r="300">
      <c r="A300" s="16"/>
      <c r="B300" s="16"/>
      <c r="C300" s="16"/>
    </row>
    <row r="301">
      <c r="A301" s="16"/>
      <c r="B301" s="16"/>
      <c r="C301" s="16"/>
    </row>
    <row r="302">
      <c r="A302" s="16"/>
      <c r="B302" s="16"/>
      <c r="C302" s="16"/>
    </row>
    <row r="303">
      <c r="A303" s="16"/>
      <c r="B303" s="16"/>
      <c r="C303" s="16"/>
    </row>
    <row r="304">
      <c r="A304" s="16"/>
      <c r="B304" s="16"/>
      <c r="C304" s="16"/>
    </row>
    <row r="305">
      <c r="A305" s="16"/>
      <c r="B305" s="16"/>
      <c r="C305" s="16"/>
    </row>
    <row r="306">
      <c r="A306" s="16"/>
      <c r="B306" s="16"/>
      <c r="C306" s="16"/>
    </row>
    <row r="307">
      <c r="A307" s="16"/>
      <c r="B307" s="16"/>
      <c r="C307" s="16"/>
    </row>
    <row r="308">
      <c r="A308" s="16"/>
      <c r="B308" s="16"/>
      <c r="C308" s="16"/>
    </row>
    <row r="309">
      <c r="A309" s="16"/>
      <c r="B309" s="16"/>
      <c r="C309" s="16"/>
    </row>
    <row r="310">
      <c r="A310" s="16"/>
      <c r="B310" s="16"/>
      <c r="C310" s="16"/>
    </row>
    <row r="311">
      <c r="A311" s="16"/>
      <c r="B311" s="16"/>
      <c r="C311" s="16"/>
    </row>
    <row r="312">
      <c r="A312" s="16"/>
      <c r="B312" s="16"/>
      <c r="C312" s="16"/>
    </row>
    <row r="313">
      <c r="A313" s="16"/>
      <c r="B313" s="16"/>
      <c r="C313" s="16"/>
    </row>
    <row r="314">
      <c r="A314" s="16"/>
      <c r="B314" s="16"/>
      <c r="C314" s="16"/>
    </row>
    <row r="315">
      <c r="A315" s="16"/>
      <c r="B315" s="16"/>
      <c r="C315" s="16"/>
    </row>
    <row r="316">
      <c r="A316" s="16"/>
      <c r="B316" s="16"/>
      <c r="C316" s="16"/>
    </row>
    <row r="317">
      <c r="A317" s="16"/>
      <c r="B317" s="16"/>
      <c r="C317" s="16"/>
    </row>
    <row r="318">
      <c r="A318" s="16"/>
      <c r="B318" s="16"/>
      <c r="C318" s="16"/>
    </row>
    <row r="319">
      <c r="A319" s="16"/>
      <c r="B319" s="16"/>
      <c r="C319" s="16"/>
    </row>
    <row r="320">
      <c r="A320" s="16"/>
      <c r="B320" s="16"/>
      <c r="C320" s="16"/>
    </row>
    <row r="321">
      <c r="A321" s="16"/>
      <c r="B321" s="16"/>
      <c r="C321" s="16"/>
    </row>
    <row r="322">
      <c r="A322" s="16"/>
      <c r="B322" s="16"/>
      <c r="C322" s="16"/>
    </row>
    <row r="323">
      <c r="A323" s="16"/>
      <c r="B323" s="16"/>
      <c r="C323" s="16"/>
    </row>
    <row r="324">
      <c r="A324" s="16"/>
      <c r="B324" s="16"/>
      <c r="C324" s="16"/>
    </row>
    <row r="325">
      <c r="A325" s="16"/>
      <c r="B325" s="16"/>
      <c r="C325" s="16"/>
    </row>
    <row r="326">
      <c r="A326" s="16"/>
      <c r="B326" s="16"/>
      <c r="C326" s="16"/>
    </row>
    <row r="327">
      <c r="A327" s="16"/>
      <c r="B327" s="16"/>
      <c r="C327" s="16"/>
    </row>
    <row r="328">
      <c r="A328" s="16"/>
      <c r="B328" s="16"/>
      <c r="C328" s="16"/>
    </row>
    <row r="329">
      <c r="A329" s="16"/>
      <c r="B329" s="16"/>
      <c r="C329" s="16"/>
    </row>
    <row r="330">
      <c r="A330" s="16"/>
      <c r="B330" s="16"/>
      <c r="C330" s="16"/>
    </row>
    <row r="331">
      <c r="A331" s="16"/>
      <c r="B331" s="16"/>
      <c r="C331" s="16"/>
    </row>
    <row r="332">
      <c r="A332" s="16"/>
      <c r="B332" s="16"/>
      <c r="C332" s="16"/>
    </row>
    <row r="333">
      <c r="A333" s="16"/>
      <c r="B333" s="16"/>
      <c r="C333" s="16"/>
    </row>
    <row r="334">
      <c r="A334" s="16"/>
      <c r="B334" s="16"/>
      <c r="C334" s="16"/>
    </row>
    <row r="335">
      <c r="A335" s="16"/>
      <c r="B335" s="16"/>
      <c r="C335" s="16"/>
    </row>
    <row r="336">
      <c r="A336" s="16"/>
      <c r="B336" s="16"/>
      <c r="C336" s="16"/>
    </row>
    <row r="337">
      <c r="A337" s="16"/>
      <c r="B337" s="16"/>
      <c r="C337" s="16"/>
    </row>
    <row r="338">
      <c r="A338" s="16"/>
      <c r="B338" s="16"/>
      <c r="C338" s="16"/>
    </row>
    <row r="339">
      <c r="A339" s="16"/>
      <c r="B339" s="16"/>
      <c r="C339" s="16"/>
    </row>
    <row r="340">
      <c r="A340" s="16"/>
      <c r="B340" s="16"/>
      <c r="C340" s="16"/>
    </row>
    <row r="341">
      <c r="A341" s="16"/>
      <c r="B341" s="16"/>
      <c r="C341" s="16"/>
    </row>
    <row r="342">
      <c r="A342" s="16"/>
      <c r="B342" s="16"/>
      <c r="C342" s="16"/>
    </row>
    <row r="343">
      <c r="A343" s="16"/>
      <c r="B343" s="16"/>
      <c r="C343" s="16"/>
    </row>
    <row r="344">
      <c r="A344" s="16"/>
      <c r="B344" s="16"/>
      <c r="C344" s="16"/>
    </row>
    <row r="345">
      <c r="A345" s="16"/>
      <c r="B345" s="16"/>
      <c r="C345" s="16"/>
    </row>
    <row r="346">
      <c r="A346" s="16"/>
      <c r="B346" s="16"/>
      <c r="C346" s="16"/>
    </row>
    <row r="347">
      <c r="A347" s="16"/>
      <c r="B347" s="16"/>
      <c r="C347" s="16"/>
    </row>
    <row r="348">
      <c r="A348" s="16"/>
      <c r="B348" s="16"/>
      <c r="C348" s="16"/>
    </row>
    <row r="349">
      <c r="A349" s="16"/>
      <c r="B349" s="16"/>
      <c r="C349" s="16"/>
    </row>
    <row r="350">
      <c r="A350" s="16"/>
      <c r="B350" s="16"/>
      <c r="C350" s="16"/>
    </row>
    <row r="351">
      <c r="A351" s="16"/>
      <c r="B351" s="16"/>
      <c r="C351" s="16"/>
    </row>
    <row r="352">
      <c r="A352" s="16"/>
      <c r="B352" s="16"/>
      <c r="C352" s="16"/>
    </row>
    <row r="353">
      <c r="A353" s="16"/>
      <c r="B353" s="16"/>
      <c r="C353" s="16"/>
    </row>
    <row r="354">
      <c r="A354" s="16"/>
      <c r="B354" s="16"/>
      <c r="C354" s="16"/>
    </row>
    <row r="355">
      <c r="A355" s="16"/>
      <c r="B355" s="16"/>
      <c r="C355" s="16"/>
    </row>
    <row r="356">
      <c r="A356" s="16"/>
      <c r="B356" s="16"/>
      <c r="C356" s="16"/>
    </row>
    <row r="357">
      <c r="A357" s="16"/>
      <c r="B357" s="16"/>
      <c r="C357" s="16"/>
    </row>
    <row r="358">
      <c r="A358" s="16"/>
      <c r="B358" s="16"/>
      <c r="C358" s="16"/>
    </row>
    <row r="359">
      <c r="A359" s="16"/>
      <c r="B359" s="16"/>
      <c r="C359" s="16"/>
    </row>
    <row r="360">
      <c r="A360" s="16"/>
      <c r="B360" s="16"/>
      <c r="C360" s="16"/>
    </row>
    <row r="361">
      <c r="A361" s="16"/>
      <c r="B361" s="16"/>
      <c r="C361" s="16"/>
    </row>
    <row r="362">
      <c r="A362" s="16"/>
      <c r="B362" s="16"/>
      <c r="C362" s="16"/>
    </row>
    <row r="363">
      <c r="A363" s="16"/>
      <c r="B363" s="16"/>
      <c r="C363" s="16"/>
    </row>
    <row r="364">
      <c r="A364" s="16"/>
      <c r="B364" s="16"/>
      <c r="C364" s="16"/>
    </row>
    <row r="365">
      <c r="A365" s="16"/>
      <c r="B365" s="16"/>
      <c r="C365" s="16"/>
    </row>
    <row r="366">
      <c r="A366" s="16"/>
      <c r="B366" s="16"/>
      <c r="C366" s="16"/>
    </row>
    <row r="367">
      <c r="A367" s="16"/>
      <c r="B367" s="16"/>
      <c r="C367" s="16"/>
    </row>
    <row r="368">
      <c r="A368" s="16"/>
      <c r="B368" s="16"/>
      <c r="C368" s="16"/>
    </row>
    <row r="369">
      <c r="A369" s="16"/>
      <c r="B369" s="16"/>
      <c r="C369" s="16"/>
    </row>
    <row r="370">
      <c r="A370" s="16"/>
      <c r="B370" s="16"/>
      <c r="C370" s="16"/>
    </row>
    <row r="371">
      <c r="A371" s="16"/>
      <c r="B371" s="16"/>
      <c r="C371" s="16"/>
    </row>
    <row r="372">
      <c r="A372" s="16"/>
      <c r="B372" s="16"/>
      <c r="C372" s="16"/>
    </row>
    <row r="373">
      <c r="A373" s="16"/>
      <c r="B373" s="16"/>
      <c r="C373" s="16"/>
    </row>
    <row r="374">
      <c r="A374" s="16"/>
      <c r="B374" s="16"/>
      <c r="C374" s="16"/>
    </row>
    <row r="375">
      <c r="A375" s="16"/>
      <c r="B375" s="16"/>
      <c r="C375" s="16"/>
    </row>
    <row r="376">
      <c r="A376" s="16"/>
      <c r="B376" s="16"/>
      <c r="C376" s="16"/>
    </row>
    <row r="377">
      <c r="A377" s="16"/>
      <c r="B377" s="16"/>
      <c r="C377" s="16"/>
    </row>
    <row r="378">
      <c r="A378" s="16"/>
      <c r="B378" s="16"/>
      <c r="C378" s="16"/>
    </row>
    <row r="379">
      <c r="A379" s="16"/>
      <c r="B379" s="16"/>
      <c r="C379" s="16"/>
    </row>
    <row r="380">
      <c r="A380" s="16"/>
      <c r="B380" s="16"/>
      <c r="C380" s="16"/>
    </row>
    <row r="381">
      <c r="A381" s="16"/>
      <c r="B381" s="16"/>
      <c r="C381" s="16"/>
    </row>
    <row r="382">
      <c r="A382" s="16"/>
      <c r="B382" s="16"/>
      <c r="C382" s="16"/>
    </row>
    <row r="383">
      <c r="A383" s="16"/>
      <c r="B383" s="16"/>
      <c r="C383" s="16"/>
    </row>
    <row r="384">
      <c r="A384" s="16"/>
      <c r="B384" s="16"/>
      <c r="C384" s="16"/>
    </row>
    <row r="385">
      <c r="A385" s="16"/>
      <c r="B385" s="16"/>
      <c r="C385" s="16"/>
    </row>
    <row r="386">
      <c r="A386" s="16"/>
      <c r="B386" s="16"/>
      <c r="C386" s="16"/>
    </row>
    <row r="387">
      <c r="A387" s="16"/>
      <c r="B387" s="16"/>
      <c r="C387" s="16"/>
    </row>
    <row r="388">
      <c r="A388" s="16"/>
      <c r="B388" s="16"/>
      <c r="C388" s="16"/>
    </row>
    <row r="389">
      <c r="A389" s="16"/>
      <c r="B389" s="16"/>
      <c r="C389" s="16"/>
    </row>
    <row r="390">
      <c r="A390" s="16"/>
      <c r="B390" s="16"/>
      <c r="C390" s="16"/>
    </row>
    <row r="391">
      <c r="A391" s="16"/>
      <c r="B391" s="16"/>
      <c r="C391" s="16"/>
    </row>
    <row r="392">
      <c r="A392" s="16"/>
      <c r="B392" s="16"/>
      <c r="C392" s="16"/>
    </row>
    <row r="393">
      <c r="A393" s="16"/>
      <c r="B393" s="16"/>
      <c r="C393" s="16"/>
    </row>
    <row r="394">
      <c r="A394" s="16"/>
      <c r="B394" s="16"/>
      <c r="C394" s="16"/>
    </row>
    <row r="395">
      <c r="A395" s="16"/>
      <c r="B395" s="16"/>
      <c r="C395" s="16"/>
    </row>
    <row r="396">
      <c r="A396" s="16"/>
      <c r="B396" s="16"/>
      <c r="C396" s="16"/>
    </row>
    <row r="397">
      <c r="A397" s="16"/>
      <c r="B397" s="16"/>
      <c r="C397" s="16"/>
    </row>
    <row r="398">
      <c r="A398" s="16"/>
      <c r="B398" s="16"/>
      <c r="C398" s="16"/>
    </row>
    <row r="399">
      <c r="A399" s="16"/>
      <c r="B399" s="16"/>
      <c r="C399" s="16"/>
    </row>
    <row r="400">
      <c r="A400" s="16"/>
      <c r="B400" s="16"/>
      <c r="C400" s="16"/>
    </row>
    <row r="401">
      <c r="A401" s="16"/>
      <c r="B401" s="16"/>
      <c r="C401" s="16"/>
    </row>
    <row r="402">
      <c r="A402" s="16"/>
      <c r="B402" s="16"/>
      <c r="C402" s="16"/>
    </row>
    <row r="403">
      <c r="A403" s="16"/>
      <c r="B403" s="16"/>
      <c r="C403" s="16"/>
    </row>
    <row r="404">
      <c r="A404" s="16"/>
      <c r="B404" s="16"/>
      <c r="C404" s="16"/>
    </row>
    <row r="405">
      <c r="A405" s="16"/>
      <c r="B405" s="16"/>
      <c r="C405" s="16"/>
    </row>
    <row r="406">
      <c r="A406" s="16"/>
      <c r="B406" s="16"/>
      <c r="C406" s="16"/>
    </row>
    <row r="407">
      <c r="A407" s="16"/>
      <c r="B407" s="16"/>
      <c r="C407" s="16"/>
    </row>
    <row r="408">
      <c r="A408" s="16"/>
      <c r="B408" s="16"/>
      <c r="C408" s="16"/>
    </row>
    <row r="409">
      <c r="A409" s="16"/>
      <c r="B409" s="16"/>
      <c r="C409" s="16"/>
    </row>
    <row r="410">
      <c r="A410" s="16"/>
      <c r="B410" s="16"/>
      <c r="C410" s="16"/>
    </row>
    <row r="411">
      <c r="A411" s="16"/>
      <c r="B411" s="16"/>
      <c r="C411" s="16"/>
    </row>
    <row r="412">
      <c r="A412" s="16"/>
      <c r="B412" s="16"/>
      <c r="C412" s="16"/>
    </row>
    <row r="413">
      <c r="A413" s="16"/>
      <c r="B413" s="16"/>
      <c r="C413" s="16"/>
    </row>
    <row r="414">
      <c r="A414" s="16"/>
      <c r="B414" s="16"/>
      <c r="C414" s="16"/>
    </row>
    <row r="415">
      <c r="A415" s="16"/>
      <c r="B415" s="16"/>
      <c r="C415" s="16"/>
    </row>
    <row r="416">
      <c r="A416" s="16"/>
      <c r="B416" s="16"/>
      <c r="C416" s="16"/>
    </row>
    <row r="417">
      <c r="A417" s="16"/>
      <c r="B417" s="16"/>
      <c r="C417" s="16"/>
    </row>
    <row r="418">
      <c r="A418" s="16"/>
      <c r="B418" s="16"/>
      <c r="C418" s="16"/>
    </row>
    <row r="419">
      <c r="A419" s="16"/>
      <c r="B419" s="16"/>
      <c r="C419" s="16"/>
    </row>
    <row r="420">
      <c r="A420" s="16"/>
      <c r="B420" s="16"/>
      <c r="C420" s="16"/>
    </row>
    <row r="421">
      <c r="A421" s="16"/>
      <c r="B421" s="16"/>
      <c r="C421" s="16"/>
    </row>
    <row r="422">
      <c r="A422" s="16"/>
      <c r="B422" s="16"/>
      <c r="C422" s="16"/>
    </row>
    <row r="423">
      <c r="A423" s="16"/>
      <c r="B423" s="16"/>
      <c r="C423" s="16"/>
    </row>
    <row r="424">
      <c r="A424" s="16"/>
      <c r="B424" s="16"/>
      <c r="C424" s="16"/>
    </row>
    <row r="425">
      <c r="A425" s="16"/>
      <c r="B425" s="16"/>
      <c r="C425" s="16"/>
    </row>
    <row r="426">
      <c r="A426" s="16"/>
      <c r="B426" s="16"/>
      <c r="C426" s="16"/>
    </row>
    <row r="427">
      <c r="A427" s="16"/>
      <c r="B427" s="16"/>
      <c r="C427" s="16"/>
    </row>
    <row r="428">
      <c r="A428" s="16"/>
      <c r="B428" s="16"/>
      <c r="C428" s="16"/>
    </row>
    <row r="429">
      <c r="A429" s="16"/>
      <c r="B429" s="16"/>
      <c r="C429" s="16"/>
    </row>
    <row r="430">
      <c r="A430" s="16"/>
      <c r="B430" s="16"/>
      <c r="C430" s="16"/>
    </row>
    <row r="431">
      <c r="A431" s="16"/>
      <c r="B431" s="16"/>
      <c r="C431" s="16"/>
    </row>
    <row r="432">
      <c r="A432" s="16"/>
      <c r="B432" s="16"/>
      <c r="C432" s="16"/>
    </row>
    <row r="433">
      <c r="A433" s="16"/>
      <c r="B433" s="16"/>
      <c r="C433" s="16"/>
    </row>
    <row r="434">
      <c r="A434" s="16"/>
      <c r="B434" s="16"/>
      <c r="C434" s="16"/>
    </row>
    <row r="435">
      <c r="A435" s="16"/>
      <c r="B435" s="16"/>
      <c r="C435" s="16"/>
    </row>
    <row r="436">
      <c r="A436" s="16"/>
      <c r="B436" s="16"/>
      <c r="C436" s="16"/>
    </row>
    <row r="437">
      <c r="A437" s="16"/>
      <c r="B437" s="16"/>
      <c r="C437" s="16"/>
    </row>
    <row r="438">
      <c r="A438" s="16"/>
      <c r="B438" s="16"/>
      <c r="C438" s="16"/>
    </row>
    <row r="439">
      <c r="A439" s="16"/>
      <c r="B439" s="16"/>
      <c r="C439" s="16"/>
    </row>
    <row r="440">
      <c r="A440" s="16"/>
      <c r="B440" s="16"/>
      <c r="C440" s="16"/>
    </row>
    <row r="441">
      <c r="A441" s="16"/>
      <c r="B441" s="16"/>
      <c r="C441" s="16"/>
    </row>
    <row r="442">
      <c r="A442" s="16"/>
      <c r="B442" s="16"/>
      <c r="C442" s="16"/>
    </row>
    <row r="443">
      <c r="A443" s="16"/>
      <c r="B443" s="16"/>
      <c r="C443" s="16"/>
    </row>
    <row r="444">
      <c r="A444" s="16"/>
      <c r="B444" s="16"/>
      <c r="C444" s="16"/>
    </row>
    <row r="445">
      <c r="A445" s="16"/>
      <c r="B445" s="16"/>
      <c r="C445" s="16"/>
    </row>
    <row r="446">
      <c r="A446" s="16"/>
      <c r="B446" s="16"/>
      <c r="C446" s="16"/>
    </row>
    <row r="447">
      <c r="A447" s="16"/>
      <c r="B447" s="16"/>
      <c r="C447" s="16"/>
    </row>
    <row r="448">
      <c r="A448" s="16"/>
      <c r="B448" s="16"/>
      <c r="C448" s="16"/>
    </row>
    <row r="449">
      <c r="A449" s="16"/>
      <c r="B449" s="16"/>
      <c r="C449" s="16"/>
    </row>
    <row r="450">
      <c r="A450" s="16"/>
      <c r="B450" s="16"/>
      <c r="C450" s="16"/>
    </row>
    <row r="451">
      <c r="A451" s="16"/>
      <c r="B451" s="16"/>
      <c r="C451" s="16"/>
    </row>
    <row r="452">
      <c r="A452" s="16"/>
      <c r="B452" s="16"/>
      <c r="C452" s="16"/>
    </row>
    <row r="453">
      <c r="A453" s="16"/>
      <c r="B453" s="16"/>
      <c r="C453" s="16"/>
    </row>
    <row r="454">
      <c r="A454" s="16"/>
      <c r="B454" s="16"/>
      <c r="C454" s="16"/>
    </row>
    <row r="455">
      <c r="A455" s="16"/>
      <c r="B455" s="16"/>
      <c r="C455" s="16"/>
    </row>
    <row r="456">
      <c r="A456" s="16"/>
      <c r="B456" s="16"/>
      <c r="C456" s="16"/>
    </row>
    <row r="457">
      <c r="A457" s="16"/>
      <c r="B457" s="16"/>
      <c r="C457" s="16"/>
    </row>
    <row r="458">
      <c r="A458" s="16"/>
      <c r="B458" s="16"/>
      <c r="C458" s="16"/>
    </row>
    <row r="459">
      <c r="A459" s="16"/>
      <c r="B459" s="16"/>
      <c r="C459" s="16"/>
    </row>
    <row r="460">
      <c r="A460" s="16"/>
      <c r="B460" s="16"/>
      <c r="C460" s="16"/>
    </row>
    <row r="461">
      <c r="A461" s="16"/>
      <c r="B461" s="16"/>
      <c r="C461" s="16"/>
    </row>
    <row r="462">
      <c r="A462" s="16"/>
      <c r="B462" s="16"/>
      <c r="C462" s="16"/>
    </row>
    <row r="463">
      <c r="A463" s="16"/>
      <c r="B463" s="16"/>
      <c r="C463" s="16"/>
    </row>
    <row r="464">
      <c r="A464" s="16"/>
      <c r="B464" s="16"/>
      <c r="C464" s="16"/>
    </row>
    <row r="465">
      <c r="A465" s="16"/>
      <c r="B465" s="16"/>
      <c r="C465" s="16"/>
    </row>
    <row r="466">
      <c r="A466" s="16"/>
      <c r="B466" s="16"/>
      <c r="C466" s="16"/>
    </row>
    <row r="467">
      <c r="A467" s="16"/>
      <c r="B467" s="16"/>
      <c r="C467" s="16"/>
    </row>
    <row r="468">
      <c r="A468" s="16"/>
      <c r="B468" s="16"/>
      <c r="C468" s="16"/>
    </row>
    <row r="469">
      <c r="A469" s="16"/>
      <c r="B469" s="16"/>
      <c r="C469" s="16"/>
    </row>
    <row r="470">
      <c r="A470" s="16"/>
      <c r="B470" s="16"/>
      <c r="C470" s="16"/>
    </row>
    <row r="471">
      <c r="A471" s="16"/>
      <c r="B471" s="16"/>
      <c r="C471" s="16"/>
    </row>
    <row r="472">
      <c r="A472" s="16"/>
      <c r="B472" s="16"/>
      <c r="C472" s="16"/>
    </row>
    <row r="473">
      <c r="A473" s="16"/>
      <c r="B473" s="16"/>
      <c r="C473" s="16"/>
    </row>
    <row r="474">
      <c r="A474" s="16"/>
      <c r="B474" s="16"/>
      <c r="C474" s="16"/>
    </row>
    <row r="475">
      <c r="A475" s="16"/>
      <c r="B475" s="16"/>
      <c r="C475" s="16"/>
    </row>
    <row r="476">
      <c r="A476" s="16"/>
      <c r="B476" s="16"/>
      <c r="C476" s="16"/>
    </row>
    <row r="477">
      <c r="A477" s="16"/>
      <c r="B477" s="16"/>
      <c r="C477" s="16"/>
    </row>
    <row r="478">
      <c r="A478" s="16"/>
      <c r="B478" s="16"/>
      <c r="C478" s="16"/>
    </row>
    <row r="479">
      <c r="A479" s="16"/>
      <c r="B479" s="16"/>
      <c r="C479" s="16"/>
    </row>
    <row r="480">
      <c r="A480" s="16"/>
      <c r="B480" s="16"/>
      <c r="C480" s="16"/>
    </row>
    <row r="481">
      <c r="A481" s="16"/>
      <c r="B481" s="16"/>
      <c r="C481" s="16"/>
    </row>
    <row r="482">
      <c r="A482" s="16"/>
      <c r="B482" s="16"/>
      <c r="C482" s="16"/>
    </row>
    <row r="483">
      <c r="A483" s="16"/>
      <c r="B483" s="16"/>
      <c r="C483" s="16"/>
    </row>
    <row r="484">
      <c r="A484" s="16"/>
      <c r="B484" s="16"/>
      <c r="C484" s="16"/>
    </row>
    <row r="485">
      <c r="A485" s="16"/>
      <c r="B485" s="16"/>
      <c r="C485" s="16"/>
    </row>
    <row r="486">
      <c r="A486" s="16"/>
      <c r="B486" s="16"/>
      <c r="C486" s="16"/>
    </row>
    <row r="487">
      <c r="A487" s="16"/>
      <c r="B487" s="16"/>
      <c r="C487" s="16"/>
    </row>
    <row r="488">
      <c r="A488" s="16"/>
      <c r="B488" s="16"/>
      <c r="C488" s="16"/>
    </row>
    <row r="489">
      <c r="A489" s="16"/>
      <c r="B489" s="16"/>
      <c r="C489" s="16"/>
    </row>
    <row r="490">
      <c r="A490" s="16"/>
      <c r="B490" s="16"/>
      <c r="C490" s="16"/>
    </row>
    <row r="491">
      <c r="A491" s="16"/>
      <c r="B491" s="16"/>
      <c r="C491" s="16"/>
    </row>
    <row r="492">
      <c r="A492" s="16"/>
      <c r="B492" s="16"/>
      <c r="C492" s="16"/>
    </row>
    <row r="493">
      <c r="A493" s="16"/>
      <c r="B493" s="16"/>
      <c r="C493" s="16"/>
    </row>
    <row r="494">
      <c r="A494" s="16"/>
      <c r="B494" s="16"/>
      <c r="C494" s="16"/>
    </row>
    <row r="495">
      <c r="A495" s="16"/>
      <c r="B495" s="16"/>
      <c r="C495" s="16"/>
    </row>
    <row r="496">
      <c r="A496" s="16"/>
      <c r="B496" s="16"/>
      <c r="C496" s="16"/>
    </row>
    <row r="497">
      <c r="A497" s="16"/>
      <c r="B497" s="16"/>
      <c r="C497" s="16"/>
    </row>
    <row r="498">
      <c r="A498" s="16"/>
      <c r="B498" s="16"/>
      <c r="C498" s="16"/>
    </row>
    <row r="499">
      <c r="A499" s="16"/>
      <c r="B499" s="16"/>
      <c r="C499" s="16"/>
    </row>
    <row r="500">
      <c r="A500" s="16"/>
      <c r="B500" s="16"/>
      <c r="C500" s="16"/>
    </row>
    <row r="501">
      <c r="A501" s="16"/>
      <c r="B501" s="16"/>
      <c r="C501" s="16"/>
    </row>
    <row r="502">
      <c r="A502" s="16"/>
      <c r="B502" s="16"/>
      <c r="C502" s="16"/>
    </row>
    <row r="503">
      <c r="A503" s="16"/>
      <c r="B503" s="16"/>
      <c r="C503" s="16"/>
    </row>
    <row r="504">
      <c r="A504" s="16"/>
      <c r="B504" s="16"/>
      <c r="C504" s="16"/>
    </row>
    <row r="505">
      <c r="A505" s="16"/>
      <c r="B505" s="16"/>
      <c r="C505" s="16"/>
    </row>
    <row r="506">
      <c r="A506" s="16"/>
      <c r="B506" s="16"/>
      <c r="C506" s="16"/>
    </row>
    <row r="507">
      <c r="A507" s="16"/>
      <c r="B507" s="16"/>
      <c r="C507" s="16"/>
    </row>
    <row r="508">
      <c r="A508" s="16"/>
      <c r="B508" s="16"/>
      <c r="C508" s="16"/>
    </row>
    <row r="509">
      <c r="A509" s="16"/>
      <c r="B509" s="16"/>
      <c r="C509" s="16"/>
    </row>
    <row r="510">
      <c r="A510" s="16"/>
      <c r="B510" s="16"/>
      <c r="C510" s="16"/>
    </row>
    <row r="511">
      <c r="A511" s="16"/>
      <c r="B511" s="16"/>
      <c r="C511" s="16"/>
    </row>
    <row r="512">
      <c r="A512" s="16"/>
      <c r="B512" s="16"/>
      <c r="C512" s="16"/>
    </row>
    <row r="513">
      <c r="A513" s="16"/>
      <c r="B513" s="16"/>
      <c r="C513" s="16"/>
    </row>
    <row r="514">
      <c r="A514" s="16"/>
      <c r="B514" s="16"/>
      <c r="C514" s="16"/>
    </row>
    <row r="515">
      <c r="A515" s="16"/>
      <c r="B515" s="16"/>
      <c r="C515" s="16"/>
    </row>
    <row r="516">
      <c r="A516" s="16"/>
      <c r="B516" s="16"/>
      <c r="C516" s="16"/>
    </row>
    <row r="517">
      <c r="A517" s="16"/>
      <c r="B517" s="16"/>
      <c r="C517" s="16"/>
    </row>
    <row r="518">
      <c r="A518" s="16"/>
      <c r="B518" s="16"/>
      <c r="C518" s="16"/>
    </row>
    <row r="519">
      <c r="A519" s="16"/>
      <c r="B519" s="16"/>
      <c r="C519" s="16"/>
    </row>
    <row r="520">
      <c r="A520" s="16"/>
      <c r="B520" s="16"/>
      <c r="C520" s="16"/>
    </row>
    <row r="521">
      <c r="A521" s="16"/>
      <c r="B521" s="16"/>
      <c r="C521" s="16"/>
    </row>
    <row r="522">
      <c r="A522" s="16"/>
      <c r="B522" s="16"/>
      <c r="C522" s="16"/>
    </row>
    <row r="523">
      <c r="A523" s="16"/>
      <c r="B523" s="16"/>
      <c r="C523" s="16"/>
    </row>
    <row r="524">
      <c r="A524" s="16"/>
      <c r="B524" s="16"/>
      <c r="C524" s="16"/>
    </row>
    <row r="525">
      <c r="A525" s="16"/>
      <c r="B525" s="16"/>
      <c r="C525" s="16"/>
    </row>
    <row r="526">
      <c r="A526" s="16"/>
      <c r="B526" s="16"/>
      <c r="C526" s="16"/>
    </row>
    <row r="527">
      <c r="A527" s="16"/>
      <c r="B527" s="16"/>
      <c r="C527" s="16"/>
    </row>
    <row r="528">
      <c r="A528" s="16"/>
      <c r="B528" s="16"/>
      <c r="C528" s="16"/>
    </row>
    <row r="529">
      <c r="A529" s="16"/>
      <c r="B529" s="16"/>
      <c r="C529" s="16"/>
    </row>
    <row r="530">
      <c r="A530" s="16"/>
      <c r="B530" s="16"/>
      <c r="C530" s="16"/>
    </row>
    <row r="531">
      <c r="A531" s="16"/>
      <c r="B531" s="16"/>
      <c r="C531" s="16"/>
    </row>
    <row r="532">
      <c r="A532" s="16"/>
      <c r="B532" s="16"/>
      <c r="C532" s="16"/>
    </row>
    <row r="533">
      <c r="A533" s="16"/>
      <c r="B533" s="16"/>
      <c r="C533" s="16"/>
    </row>
    <row r="534">
      <c r="A534" s="16"/>
      <c r="B534" s="16"/>
      <c r="C534" s="16"/>
    </row>
    <row r="535">
      <c r="A535" s="16"/>
      <c r="B535" s="16"/>
      <c r="C535" s="16"/>
    </row>
    <row r="536">
      <c r="A536" s="16"/>
      <c r="B536" s="16"/>
      <c r="C536" s="16"/>
    </row>
    <row r="537">
      <c r="A537" s="16"/>
      <c r="B537" s="16"/>
      <c r="C537" s="16"/>
    </row>
    <row r="538">
      <c r="A538" s="16"/>
      <c r="B538" s="16"/>
      <c r="C538" s="16"/>
    </row>
    <row r="539">
      <c r="A539" s="16"/>
      <c r="B539" s="16"/>
      <c r="C539" s="16"/>
    </row>
    <row r="540">
      <c r="A540" s="16"/>
      <c r="B540" s="16"/>
      <c r="C540" s="16"/>
    </row>
    <row r="541">
      <c r="A541" s="16"/>
      <c r="B541" s="16"/>
      <c r="C541" s="16"/>
    </row>
    <row r="542">
      <c r="A542" s="16"/>
      <c r="B542" s="16"/>
      <c r="C542" s="16"/>
    </row>
    <row r="543">
      <c r="A543" s="16"/>
      <c r="B543" s="16"/>
      <c r="C543" s="16"/>
    </row>
    <row r="544">
      <c r="A544" s="16"/>
      <c r="B544" s="16"/>
      <c r="C544" s="16"/>
    </row>
    <row r="545">
      <c r="A545" s="16"/>
      <c r="B545" s="16"/>
      <c r="C545" s="16"/>
    </row>
    <row r="546">
      <c r="A546" s="16"/>
      <c r="B546" s="16"/>
      <c r="C546" s="16"/>
    </row>
    <row r="547">
      <c r="A547" s="16"/>
      <c r="B547" s="16"/>
      <c r="C547" s="16"/>
    </row>
    <row r="548">
      <c r="A548" s="16"/>
      <c r="B548" s="16"/>
      <c r="C548" s="16"/>
    </row>
    <row r="549">
      <c r="A549" s="16"/>
      <c r="B549" s="16"/>
      <c r="C549" s="16"/>
    </row>
    <row r="550">
      <c r="A550" s="16"/>
      <c r="B550" s="16"/>
      <c r="C550" s="16"/>
    </row>
    <row r="551">
      <c r="A551" s="16"/>
      <c r="B551" s="16"/>
      <c r="C551" s="16"/>
    </row>
    <row r="552">
      <c r="A552" s="16"/>
      <c r="B552" s="16"/>
      <c r="C552" s="16"/>
    </row>
    <row r="553">
      <c r="A553" s="16"/>
      <c r="B553" s="16"/>
      <c r="C553" s="16"/>
    </row>
    <row r="554">
      <c r="A554" s="16"/>
      <c r="B554" s="16"/>
      <c r="C554" s="16"/>
    </row>
    <row r="555">
      <c r="A555" s="16"/>
      <c r="B555" s="16"/>
      <c r="C555" s="16"/>
    </row>
    <row r="556">
      <c r="A556" s="16"/>
      <c r="B556" s="16"/>
      <c r="C556" s="16"/>
    </row>
    <row r="557">
      <c r="A557" s="16"/>
      <c r="B557" s="16"/>
      <c r="C557" s="16"/>
    </row>
    <row r="558">
      <c r="A558" s="16"/>
      <c r="B558" s="16"/>
      <c r="C558" s="16"/>
    </row>
    <row r="559">
      <c r="A559" s="16"/>
      <c r="B559" s="16"/>
      <c r="C559" s="16"/>
    </row>
    <row r="560">
      <c r="A560" s="16"/>
      <c r="B560" s="16"/>
      <c r="C560" s="16"/>
    </row>
    <row r="561">
      <c r="A561" s="16"/>
      <c r="B561" s="16"/>
      <c r="C561" s="16"/>
    </row>
    <row r="562">
      <c r="A562" s="16"/>
      <c r="B562" s="16"/>
      <c r="C562" s="16"/>
    </row>
    <row r="563">
      <c r="A563" s="16"/>
      <c r="B563" s="16"/>
      <c r="C563" s="16"/>
    </row>
    <row r="564">
      <c r="A564" s="16"/>
      <c r="B564" s="16"/>
      <c r="C564" s="16"/>
    </row>
    <row r="565">
      <c r="A565" s="16"/>
      <c r="B565" s="16"/>
      <c r="C565" s="16"/>
    </row>
    <row r="566">
      <c r="A566" s="16"/>
      <c r="B566" s="16"/>
      <c r="C566" s="16"/>
    </row>
    <row r="567">
      <c r="A567" s="16"/>
      <c r="B567" s="16"/>
      <c r="C567" s="16"/>
    </row>
    <row r="568">
      <c r="A568" s="16"/>
      <c r="B568" s="16"/>
      <c r="C568" s="16"/>
    </row>
    <row r="569">
      <c r="A569" s="16"/>
      <c r="B569" s="16"/>
      <c r="C569" s="16"/>
    </row>
    <row r="570">
      <c r="A570" s="16"/>
      <c r="B570" s="16"/>
      <c r="C570" s="16"/>
    </row>
    <row r="571">
      <c r="A571" s="16"/>
      <c r="B571" s="16"/>
      <c r="C571" s="16"/>
    </row>
    <row r="572">
      <c r="A572" s="16"/>
      <c r="B572" s="16"/>
      <c r="C572" s="16"/>
    </row>
    <row r="573">
      <c r="A573" s="16"/>
      <c r="B573" s="16"/>
      <c r="C573" s="16"/>
    </row>
    <row r="574">
      <c r="A574" s="16"/>
      <c r="B574" s="16"/>
      <c r="C574" s="16"/>
    </row>
    <row r="575">
      <c r="A575" s="16"/>
      <c r="B575" s="16"/>
      <c r="C575" s="16"/>
    </row>
    <row r="576">
      <c r="A576" s="16"/>
      <c r="B576" s="16"/>
      <c r="C576" s="16"/>
    </row>
    <row r="577">
      <c r="A577" s="16"/>
      <c r="B577" s="16"/>
      <c r="C577" s="16"/>
    </row>
    <row r="578">
      <c r="A578" s="16"/>
      <c r="B578" s="16"/>
      <c r="C578" s="16"/>
    </row>
    <row r="579">
      <c r="A579" s="16"/>
      <c r="B579" s="16"/>
      <c r="C579" s="16"/>
    </row>
    <row r="580">
      <c r="A580" s="16"/>
      <c r="B580" s="16"/>
      <c r="C580" s="16"/>
    </row>
    <row r="581">
      <c r="A581" s="16"/>
      <c r="B581" s="16"/>
      <c r="C581" s="16"/>
    </row>
    <row r="582">
      <c r="A582" s="16"/>
      <c r="B582" s="16"/>
      <c r="C582" s="16"/>
    </row>
    <row r="583">
      <c r="A583" s="16"/>
      <c r="B583" s="16"/>
      <c r="C583" s="16"/>
    </row>
    <row r="584">
      <c r="A584" s="16"/>
      <c r="B584" s="16"/>
      <c r="C584" s="16"/>
    </row>
    <row r="585">
      <c r="A585" s="16"/>
      <c r="B585" s="16"/>
      <c r="C585" s="16"/>
    </row>
    <row r="586">
      <c r="A586" s="16"/>
      <c r="B586" s="16"/>
      <c r="C586" s="16"/>
    </row>
    <row r="587">
      <c r="A587" s="16"/>
      <c r="B587" s="16"/>
      <c r="C587" s="16"/>
    </row>
    <row r="588">
      <c r="A588" s="16"/>
      <c r="B588" s="16"/>
      <c r="C588" s="16"/>
    </row>
    <row r="589">
      <c r="A589" s="16"/>
      <c r="B589" s="16"/>
      <c r="C589" s="16"/>
    </row>
    <row r="590">
      <c r="A590" s="16"/>
      <c r="B590" s="16"/>
      <c r="C590" s="16"/>
    </row>
    <row r="591">
      <c r="A591" s="16"/>
      <c r="B591" s="16"/>
      <c r="C591" s="16"/>
    </row>
    <row r="592">
      <c r="A592" s="16"/>
      <c r="B592" s="16"/>
      <c r="C592" s="16"/>
    </row>
    <row r="593">
      <c r="A593" s="16"/>
      <c r="B593" s="16"/>
      <c r="C593" s="16"/>
    </row>
    <row r="594">
      <c r="A594" s="16"/>
      <c r="B594" s="16"/>
      <c r="C594" s="16"/>
    </row>
    <row r="595">
      <c r="A595" s="16"/>
      <c r="B595" s="16"/>
      <c r="C595" s="16"/>
    </row>
    <row r="596">
      <c r="A596" s="16"/>
      <c r="B596" s="16"/>
      <c r="C596" s="16"/>
    </row>
    <row r="597">
      <c r="A597" s="16"/>
      <c r="B597" s="16"/>
      <c r="C597" s="16"/>
    </row>
    <row r="598">
      <c r="A598" s="16"/>
      <c r="B598" s="16"/>
      <c r="C598" s="16"/>
    </row>
    <row r="599">
      <c r="A599" s="16"/>
      <c r="B599" s="16"/>
      <c r="C599" s="16"/>
    </row>
    <row r="600">
      <c r="A600" s="16"/>
      <c r="B600" s="16"/>
      <c r="C600" s="16"/>
    </row>
    <row r="601">
      <c r="A601" s="16"/>
      <c r="B601" s="16"/>
      <c r="C601" s="16"/>
    </row>
    <row r="602">
      <c r="A602" s="16"/>
      <c r="B602" s="16"/>
      <c r="C602" s="16"/>
    </row>
    <row r="603">
      <c r="A603" s="16"/>
      <c r="B603" s="16"/>
      <c r="C603" s="16"/>
    </row>
    <row r="604">
      <c r="A604" s="16"/>
      <c r="B604" s="16"/>
      <c r="C604" s="16"/>
    </row>
    <row r="605">
      <c r="A605" s="16"/>
      <c r="B605" s="16"/>
      <c r="C605" s="16"/>
    </row>
    <row r="606">
      <c r="A606" s="16"/>
      <c r="B606" s="16"/>
      <c r="C606" s="16"/>
    </row>
    <row r="607">
      <c r="A607" s="16"/>
      <c r="B607" s="16"/>
      <c r="C607" s="16"/>
    </row>
    <row r="608">
      <c r="A608" s="16"/>
      <c r="B608" s="16"/>
      <c r="C608" s="16"/>
    </row>
    <row r="609">
      <c r="A609" s="16"/>
      <c r="B609" s="16"/>
      <c r="C609" s="16"/>
    </row>
    <row r="610">
      <c r="A610" s="16"/>
      <c r="B610" s="16"/>
      <c r="C610" s="16"/>
    </row>
    <row r="611">
      <c r="A611" s="16"/>
      <c r="B611" s="16"/>
      <c r="C611" s="16"/>
    </row>
    <row r="612">
      <c r="A612" s="16"/>
      <c r="B612" s="16"/>
      <c r="C612" s="16"/>
    </row>
    <row r="613">
      <c r="A613" s="16"/>
      <c r="B613" s="16"/>
      <c r="C613" s="16"/>
    </row>
    <row r="614">
      <c r="A614" s="16"/>
      <c r="B614" s="16"/>
      <c r="C614" s="16"/>
    </row>
    <row r="615">
      <c r="A615" s="16"/>
      <c r="B615" s="16"/>
      <c r="C615" s="16"/>
    </row>
    <row r="616">
      <c r="A616" s="16"/>
      <c r="B616" s="16"/>
      <c r="C616" s="16"/>
    </row>
    <row r="617">
      <c r="A617" s="16"/>
      <c r="B617" s="16"/>
      <c r="C617" s="16"/>
    </row>
    <row r="618">
      <c r="A618" s="16"/>
      <c r="B618" s="16"/>
      <c r="C618" s="16"/>
    </row>
    <row r="619">
      <c r="A619" s="16"/>
      <c r="B619" s="16"/>
      <c r="C619" s="16"/>
    </row>
    <row r="620">
      <c r="A620" s="16"/>
      <c r="B620" s="16"/>
      <c r="C620" s="16"/>
    </row>
    <row r="621">
      <c r="A621" s="16"/>
      <c r="B621" s="16"/>
      <c r="C621" s="16"/>
    </row>
    <row r="622">
      <c r="A622" s="16"/>
      <c r="B622" s="16"/>
      <c r="C622" s="16"/>
    </row>
    <row r="623">
      <c r="A623" s="16"/>
      <c r="B623" s="16"/>
      <c r="C623" s="16"/>
    </row>
    <row r="624">
      <c r="A624" s="16"/>
      <c r="B624" s="16"/>
      <c r="C624" s="16"/>
    </row>
    <row r="625">
      <c r="A625" s="16"/>
      <c r="B625" s="16"/>
      <c r="C625" s="16"/>
    </row>
    <row r="626">
      <c r="A626" s="16"/>
      <c r="B626" s="16"/>
      <c r="C626" s="16"/>
    </row>
    <row r="627">
      <c r="A627" s="16"/>
      <c r="B627" s="16"/>
      <c r="C627" s="16"/>
    </row>
    <row r="628">
      <c r="A628" s="16"/>
      <c r="B628" s="16"/>
      <c r="C628" s="16"/>
    </row>
    <row r="629">
      <c r="A629" s="16"/>
      <c r="B629" s="16"/>
      <c r="C629" s="16"/>
    </row>
    <row r="630">
      <c r="A630" s="16"/>
      <c r="B630" s="16"/>
      <c r="C630" s="16"/>
    </row>
    <row r="631">
      <c r="A631" s="16"/>
      <c r="B631" s="16"/>
      <c r="C631" s="16"/>
    </row>
    <row r="632">
      <c r="A632" s="16"/>
      <c r="B632" s="16"/>
      <c r="C632" s="16"/>
    </row>
    <row r="633">
      <c r="A633" s="16"/>
      <c r="B633" s="16"/>
      <c r="C633" s="16"/>
    </row>
    <row r="634">
      <c r="A634" s="16"/>
      <c r="B634" s="16"/>
      <c r="C634" s="16"/>
    </row>
    <row r="635">
      <c r="A635" s="16"/>
      <c r="B635" s="16"/>
      <c r="C635" s="16"/>
    </row>
    <row r="636">
      <c r="A636" s="16"/>
      <c r="B636" s="16"/>
      <c r="C636" s="16"/>
    </row>
    <row r="637">
      <c r="A637" s="16"/>
      <c r="B637" s="16"/>
      <c r="C637" s="16"/>
    </row>
    <row r="638">
      <c r="A638" s="16"/>
      <c r="B638" s="16"/>
      <c r="C638" s="16"/>
    </row>
    <row r="639">
      <c r="A639" s="16"/>
      <c r="B639" s="16"/>
      <c r="C639" s="16"/>
    </row>
    <row r="640">
      <c r="A640" s="16"/>
      <c r="B640" s="16"/>
      <c r="C640" s="16"/>
    </row>
    <row r="641">
      <c r="A641" s="16"/>
      <c r="B641" s="16"/>
      <c r="C641" s="16"/>
    </row>
    <row r="642">
      <c r="A642" s="16"/>
      <c r="B642" s="16"/>
      <c r="C642" s="16"/>
    </row>
    <row r="643">
      <c r="A643" s="16"/>
      <c r="B643" s="16"/>
      <c r="C643" s="16"/>
    </row>
    <row r="644">
      <c r="A644" s="16"/>
      <c r="B644" s="16"/>
      <c r="C644" s="16"/>
    </row>
    <row r="645">
      <c r="A645" s="16"/>
      <c r="B645" s="16"/>
      <c r="C645" s="16"/>
    </row>
    <row r="646">
      <c r="A646" s="16"/>
      <c r="B646" s="16"/>
      <c r="C646" s="16"/>
    </row>
    <row r="647">
      <c r="A647" s="16"/>
      <c r="B647" s="16"/>
      <c r="C647" s="16"/>
    </row>
    <row r="648">
      <c r="A648" s="16"/>
      <c r="B648" s="16"/>
      <c r="C648" s="16"/>
    </row>
    <row r="649">
      <c r="A649" s="16"/>
      <c r="B649" s="16"/>
      <c r="C649" s="16"/>
    </row>
    <row r="650">
      <c r="A650" s="16"/>
      <c r="B650" s="16"/>
      <c r="C650" s="16"/>
    </row>
    <row r="651">
      <c r="A651" s="16"/>
      <c r="B651" s="16"/>
      <c r="C651" s="16"/>
    </row>
    <row r="652">
      <c r="A652" s="16"/>
      <c r="B652" s="16"/>
      <c r="C652" s="16"/>
    </row>
    <row r="653">
      <c r="A653" s="16"/>
      <c r="B653" s="16"/>
      <c r="C653" s="16"/>
    </row>
    <row r="654">
      <c r="A654" s="16"/>
      <c r="B654" s="16"/>
      <c r="C654" s="16"/>
    </row>
    <row r="655">
      <c r="A655" s="16"/>
      <c r="B655" s="16"/>
      <c r="C655" s="16"/>
    </row>
    <row r="656">
      <c r="A656" s="16"/>
      <c r="B656" s="16"/>
      <c r="C656" s="16"/>
    </row>
    <row r="657">
      <c r="A657" s="16"/>
      <c r="B657" s="16"/>
      <c r="C657" s="16"/>
    </row>
    <row r="658">
      <c r="A658" s="16"/>
      <c r="B658" s="16"/>
      <c r="C658" s="16"/>
    </row>
    <row r="659">
      <c r="A659" s="16"/>
      <c r="B659" s="16"/>
      <c r="C659" s="16"/>
    </row>
    <row r="660">
      <c r="A660" s="16"/>
      <c r="B660" s="16"/>
      <c r="C660" s="16"/>
    </row>
    <row r="661">
      <c r="A661" s="16"/>
      <c r="B661" s="16"/>
      <c r="C661" s="16"/>
    </row>
    <row r="662">
      <c r="A662" s="16"/>
      <c r="B662" s="16"/>
      <c r="C662" s="16"/>
    </row>
    <row r="663">
      <c r="A663" s="16"/>
      <c r="B663" s="16"/>
      <c r="C663" s="16"/>
    </row>
    <row r="664">
      <c r="A664" s="16"/>
      <c r="B664" s="16"/>
      <c r="C664" s="16"/>
    </row>
    <row r="665">
      <c r="A665" s="16"/>
      <c r="B665" s="16"/>
      <c r="C665" s="16"/>
    </row>
    <row r="666">
      <c r="A666" s="16"/>
      <c r="B666" s="16"/>
      <c r="C666" s="16"/>
    </row>
    <row r="667">
      <c r="A667" s="16"/>
      <c r="B667" s="16"/>
      <c r="C667" s="16"/>
    </row>
    <row r="668">
      <c r="A668" s="16"/>
      <c r="B668" s="16"/>
      <c r="C668" s="16"/>
    </row>
    <row r="669">
      <c r="A669" s="16"/>
      <c r="B669" s="16"/>
      <c r="C669" s="16"/>
    </row>
    <row r="670">
      <c r="A670" s="16"/>
      <c r="B670" s="16"/>
      <c r="C670" s="16"/>
    </row>
    <row r="671">
      <c r="A671" s="16"/>
      <c r="B671" s="16"/>
      <c r="C671" s="16"/>
    </row>
    <row r="672">
      <c r="A672" s="16"/>
      <c r="B672" s="16"/>
      <c r="C672" s="16"/>
    </row>
    <row r="673">
      <c r="A673" s="16"/>
      <c r="B673" s="16"/>
      <c r="C673" s="16"/>
    </row>
    <row r="674">
      <c r="A674" s="16"/>
      <c r="B674" s="16"/>
      <c r="C674" s="16"/>
    </row>
    <row r="675">
      <c r="A675" s="16"/>
      <c r="B675" s="16"/>
      <c r="C675" s="16"/>
    </row>
    <row r="676">
      <c r="A676" s="16"/>
      <c r="B676" s="16"/>
      <c r="C676" s="16"/>
    </row>
    <row r="677">
      <c r="A677" s="16"/>
      <c r="B677" s="16"/>
      <c r="C677" s="16"/>
    </row>
    <row r="678">
      <c r="A678" s="16"/>
      <c r="B678" s="16"/>
      <c r="C678" s="16"/>
    </row>
    <row r="679">
      <c r="A679" s="16"/>
      <c r="B679" s="16"/>
      <c r="C679" s="16"/>
    </row>
    <row r="680">
      <c r="A680" s="16"/>
      <c r="B680" s="16"/>
      <c r="C680" s="16"/>
    </row>
    <row r="681">
      <c r="A681" s="16"/>
      <c r="B681" s="16"/>
      <c r="C681" s="16"/>
    </row>
    <row r="682">
      <c r="A682" s="16"/>
      <c r="B682" s="16"/>
      <c r="C682" s="16"/>
    </row>
    <row r="683">
      <c r="A683" s="16"/>
      <c r="B683" s="16"/>
      <c r="C683" s="16"/>
    </row>
    <row r="684">
      <c r="A684" s="16"/>
      <c r="B684" s="16"/>
      <c r="C684" s="16"/>
    </row>
    <row r="685">
      <c r="A685" s="16"/>
      <c r="B685" s="16"/>
      <c r="C685" s="16"/>
    </row>
    <row r="686">
      <c r="A686" s="16"/>
      <c r="B686" s="16"/>
      <c r="C686" s="16"/>
    </row>
    <row r="687">
      <c r="A687" s="16"/>
      <c r="B687" s="16"/>
      <c r="C687" s="16"/>
    </row>
    <row r="688">
      <c r="A688" s="16"/>
      <c r="B688" s="16"/>
      <c r="C688" s="16"/>
    </row>
    <row r="689">
      <c r="A689" s="16"/>
      <c r="B689" s="16"/>
      <c r="C689" s="16"/>
    </row>
    <row r="690">
      <c r="A690" s="16"/>
      <c r="B690" s="16"/>
      <c r="C690" s="16"/>
    </row>
    <row r="691">
      <c r="A691" s="16"/>
      <c r="B691" s="16"/>
      <c r="C691" s="16"/>
    </row>
    <row r="692">
      <c r="A692" s="16"/>
      <c r="B692" s="16"/>
      <c r="C692" s="16"/>
    </row>
    <row r="693">
      <c r="A693" s="16"/>
      <c r="B693" s="16"/>
      <c r="C693" s="16"/>
    </row>
    <row r="694">
      <c r="A694" s="16"/>
      <c r="B694" s="16"/>
      <c r="C694" s="16"/>
    </row>
    <row r="695">
      <c r="A695" s="16"/>
      <c r="B695" s="16"/>
      <c r="C695" s="16"/>
    </row>
    <row r="696">
      <c r="A696" s="16"/>
      <c r="B696" s="16"/>
      <c r="C696" s="16"/>
    </row>
    <row r="697">
      <c r="A697" s="16"/>
      <c r="B697" s="16"/>
      <c r="C697" s="16"/>
    </row>
    <row r="698">
      <c r="A698" s="16"/>
      <c r="B698" s="16"/>
      <c r="C698" s="16"/>
    </row>
    <row r="699">
      <c r="A699" s="16"/>
      <c r="B699" s="16"/>
      <c r="C699" s="16"/>
    </row>
    <row r="700">
      <c r="A700" s="16"/>
      <c r="B700" s="16"/>
      <c r="C700" s="16"/>
    </row>
    <row r="701">
      <c r="A701" s="16"/>
      <c r="B701" s="16"/>
      <c r="C701" s="16"/>
    </row>
    <row r="702">
      <c r="A702" s="16"/>
      <c r="B702" s="16"/>
      <c r="C702" s="16"/>
    </row>
    <row r="703">
      <c r="A703" s="16"/>
      <c r="B703" s="16"/>
      <c r="C703" s="16"/>
    </row>
    <row r="704">
      <c r="A704" s="16"/>
      <c r="B704" s="16"/>
      <c r="C704" s="16"/>
    </row>
    <row r="705">
      <c r="A705" s="16"/>
      <c r="B705" s="16"/>
      <c r="C705" s="16"/>
    </row>
    <row r="706">
      <c r="A706" s="16"/>
      <c r="B706" s="16"/>
      <c r="C706" s="16"/>
    </row>
    <row r="707">
      <c r="A707" s="16"/>
      <c r="B707" s="16"/>
      <c r="C707" s="16"/>
    </row>
    <row r="708">
      <c r="A708" s="16"/>
      <c r="B708" s="16"/>
      <c r="C708" s="16"/>
    </row>
    <row r="709">
      <c r="A709" s="16"/>
      <c r="B709" s="16"/>
      <c r="C709" s="16"/>
    </row>
    <row r="710">
      <c r="A710" s="16"/>
      <c r="B710" s="16"/>
      <c r="C710" s="16"/>
    </row>
    <row r="711">
      <c r="A711" s="16"/>
      <c r="B711" s="16"/>
      <c r="C711" s="16"/>
    </row>
    <row r="712">
      <c r="A712" s="16"/>
      <c r="B712" s="16"/>
      <c r="C712" s="16"/>
    </row>
    <row r="713">
      <c r="A713" s="16"/>
      <c r="B713" s="16"/>
      <c r="C713" s="16"/>
    </row>
    <row r="714">
      <c r="A714" s="16"/>
      <c r="B714" s="16"/>
      <c r="C714" s="16"/>
    </row>
    <row r="715">
      <c r="A715" s="16"/>
      <c r="B715" s="16"/>
      <c r="C715" s="16"/>
    </row>
    <row r="716">
      <c r="A716" s="16"/>
      <c r="B716" s="16"/>
      <c r="C716" s="16"/>
    </row>
    <row r="717">
      <c r="A717" s="16"/>
      <c r="B717" s="16"/>
      <c r="C717" s="16"/>
    </row>
    <row r="718">
      <c r="A718" s="16"/>
      <c r="B718" s="16"/>
      <c r="C718" s="16"/>
    </row>
    <row r="719">
      <c r="A719" s="16"/>
      <c r="B719" s="16"/>
      <c r="C719" s="16"/>
    </row>
    <row r="720">
      <c r="A720" s="16"/>
      <c r="B720" s="16"/>
      <c r="C720" s="16"/>
    </row>
    <row r="721">
      <c r="A721" s="16"/>
      <c r="B721" s="16"/>
      <c r="C721" s="16"/>
    </row>
    <row r="722">
      <c r="A722" s="16"/>
      <c r="B722" s="16"/>
      <c r="C722" s="16"/>
    </row>
    <row r="723">
      <c r="A723" s="16"/>
      <c r="B723" s="16"/>
      <c r="C723" s="16"/>
    </row>
    <row r="724">
      <c r="A724" s="16"/>
      <c r="B724" s="16"/>
      <c r="C724" s="16"/>
    </row>
    <row r="725">
      <c r="A725" s="16"/>
      <c r="B725" s="16"/>
      <c r="C725" s="16"/>
    </row>
    <row r="726">
      <c r="A726" s="16"/>
      <c r="B726" s="16"/>
      <c r="C726" s="16"/>
    </row>
    <row r="727">
      <c r="A727" s="16"/>
      <c r="B727" s="16"/>
      <c r="C727" s="16"/>
    </row>
    <row r="728">
      <c r="A728" s="16"/>
      <c r="B728" s="16"/>
      <c r="C728" s="16"/>
    </row>
    <row r="729">
      <c r="A729" s="16"/>
      <c r="B729" s="16"/>
      <c r="C729" s="16"/>
    </row>
    <row r="730">
      <c r="A730" s="16"/>
      <c r="B730" s="16"/>
      <c r="C730" s="16"/>
    </row>
    <row r="731">
      <c r="A731" s="16"/>
      <c r="B731" s="16"/>
      <c r="C731" s="16"/>
    </row>
    <row r="732">
      <c r="A732" s="16"/>
      <c r="B732" s="16"/>
      <c r="C732" s="16"/>
    </row>
    <row r="733">
      <c r="A733" s="16"/>
      <c r="B733" s="16"/>
      <c r="C733" s="16"/>
    </row>
    <row r="734">
      <c r="A734" s="16"/>
      <c r="B734" s="16"/>
      <c r="C734" s="16"/>
    </row>
    <row r="735">
      <c r="A735" s="16"/>
      <c r="B735" s="16"/>
      <c r="C735" s="16"/>
    </row>
    <row r="736">
      <c r="A736" s="16"/>
      <c r="B736" s="16"/>
      <c r="C736" s="16"/>
    </row>
    <row r="737">
      <c r="A737" s="16"/>
      <c r="B737" s="16"/>
      <c r="C737" s="16"/>
    </row>
    <row r="738">
      <c r="A738" s="16"/>
      <c r="B738" s="16"/>
      <c r="C738" s="16"/>
    </row>
    <row r="739">
      <c r="A739" s="16"/>
      <c r="B739" s="16"/>
      <c r="C739" s="16"/>
    </row>
    <row r="740">
      <c r="A740" s="16"/>
      <c r="B740" s="16"/>
      <c r="C740" s="16"/>
    </row>
    <row r="741">
      <c r="A741" s="16"/>
      <c r="B741" s="16"/>
      <c r="C741" s="16"/>
    </row>
    <row r="742">
      <c r="A742" s="16"/>
      <c r="B742" s="16"/>
      <c r="C742" s="16"/>
    </row>
    <row r="743">
      <c r="A743" s="16"/>
      <c r="B743" s="16"/>
      <c r="C743" s="16"/>
    </row>
    <row r="744">
      <c r="A744" s="16"/>
      <c r="B744" s="16"/>
      <c r="C744" s="16"/>
    </row>
    <row r="745">
      <c r="A745" s="16"/>
      <c r="B745" s="16"/>
      <c r="C745" s="16"/>
    </row>
    <row r="746">
      <c r="A746" s="16"/>
      <c r="B746" s="16"/>
      <c r="C746" s="16"/>
    </row>
    <row r="747">
      <c r="A747" s="16"/>
      <c r="B747" s="16"/>
      <c r="C747" s="16"/>
    </row>
    <row r="748">
      <c r="A748" s="16"/>
      <c r="B748" s="16"/>
      <c r="C748" s="16"/>
    </row>
    <row r="749">
      <c r="A749" s="16"/>
      <c r="B749" s="16"/>
      <c r="C749" s="16"/>
    </row>
    <row r="750">
      <c r="A750" s="16"/>
      <c r="B750" s="16"/>
      <c r="C750" s="16"/>
    </row>
    <row r="751">
      <c r="A751" s="16"/>
      <c r="B751" s="16"/>
      <c r="C751" s="16"/>
    </row>
    <row r="752">
      <c r="A752" s="16"/>
      <c r="B752" s="16"/>
      <c r="C752" s="16"/>
    </row>
    <row r="753">
      <c r="A753" s="16"/>
      <c r="B753" s="16"/>
      <c r="C753" s="16"/>
    </row>
    <row r="754">
      <c r="A754" s="16"/>
      <c r="B754" s="16"/>
      <c r="C754" s="16"/>
    </row>
    <row r="755">
      <c r="A755" s="16"/>
      <c r="B755" s="16"/>
      <c r="C755" s="16"/>
    </row>
    <row r="756">
      <c r="A756" s="16"/>
      <c r="B756" s="16"/>
      <c r="C756" s="16"/>
    </row>
    <row r="757">
      <c r="A757" s="16"/>
      <c r="B757" s="16"/>
      <c r="C757" s="16"/>
    </row>
    <row r="758">
      <c r="A758" s="16"/>
      <c r="B758" s="16"/>
      <c r="C758" s="16"/>
    </row>
    <row r="759">
      <c r="A759" s="16"/>
      <c r="B759" s="16"/>
      <c r="C759" s="16"/>
    </row>
    <row r="760">
      <c r="A760" s="16"/>
      <c r="B760" s="16"/>
      <c r="C760" s="16"/>
    </row>
    <row r="761">
      <c r="A761" s="16"/>
      <c r="B761" s="16"/>
      <c r="C761" s="16"/>
    </row>
    <row r="762">
      <c r="A762" s="16"/>
      <c r="B762" s="16"/>
      <c r="C762" s="16"/>
    </row>
    <row r="763">
      <c r="A763" s="16"/>
      <c r="B763" s="16"/>
      <c r="C763" s="16"/>
    </row>
    <row r="764">
      <c r="A764" s="16"/>
      <c r="B764" s="16"/>
      <c r="C764" s="16"/>
    </row>
    <row r="765">
      <c r="A765" s="16"/>
      <c r="B765" s="16"/>
      <c r="C765" s="16"/>
    </row>
    <row r="766">
      <c r="A766" s="16"/>
      <c r="B766" s="16"/>
      <c r="C766" s="16"/>
    </row>
    <row r="767">
      <c r="A767" s="16"/>
      <c r="B767" s="16"/>
      <c r="C767" s="16"/>
    </row>
    <row r="768">
      <c r="A768" s="16"/>
      <c r="B768" s="16"/>
      <c r="C768" s="16"/>
    </row>
    <row r="769">
      <c r="A769" s="16"/>
      <c r="B769" s="16"/>
      <c r="C769" s="16"/>
    </row>
    <row r="770">
      <c r="A770" s="16"/>
      <c r="B770" s="16"/>
      <c r="C770" s="16"/>
    </row>
    <row r="771">
      <c r="A771" s="16"/>
      <c r="B771" s="16"/>
      <c r="C771" s="16"/>
    </row>
    <row r="772">
      <c r="A772" s="16"/>
      <c r="B772" s="16"/>
      <c r="C772" s="16"/>
    </row>
    <row r="773">
      <c r="A773" s="16"/>
      <c r="B773" s="16"/>
      <c r="C773" s="16"/>
    </row>
    <row r="774">
      <c r="A774" s="16"/>
      <c r="B774" s="16"/>
      <c r="C774" s="16"/>
    </row>
    <row r="775">
      <c r="A775" s="16"/>
      <c r="B775" s="16"/>
      <c r="C775" s="16"/>
    </row>
    <row r="776">
      <c r="A776" s="16"/>
      <c r="B776" s="16"/>
      <c r="C776" s="16"/>
    </row>
    <row r="777">
      <c r="A777" s="16"/>
      <c r="B777" s="16"/>
      <c r="C777" s="16"/>
    </row>
    <row r="778">
      <c r="A778" s="16"/>
      <c r="B778" s="16"/>
      <c r="C778" s="16"/>
    </row>
    <row r="779">
      <c r="A779" s="16"/>
      <c r="B779" s="16"/>
      <c r="C779" s="16"/>
    </row>
    <row r="780">
      <c r="A780" s="16"/>
      <c r="B780" s="16"/>
      <c r="C780" s="16"/>
    </row>
    <row r="781">
      <c r="A781" s="16"/>
      <c r="B781" s="16"/>
      <c r="C781" s="16"/>
    </row>
    <row r="782">
      <c r="A782" s="16"/>
      <c r="B782" s="16"/>
      <c r="C782" s="16"/>
    </row>
    <row r="783">
      <c r="A783" s="16"/>
      <c r="B783" s="16"/>
      <c r="C783" s="16"/>
    </row>
    <row r="784">
      <c r="A784" s="16"/>
      <c r="B784" s="16"/>
      <c r="C784" s="16"/>
    </row>
    <row r="785">
      <c r="A785" s="16"/>
      <c r="B785" s="16"/>
      <c r="C785" s="16"/>
    </row>
    <row r="786">
      <c r="A786" s="16"/>
      <c r="B786" s="16"/>
      <c r="C786" s="16"/>
    </row>
    <row r="787">
      <c r="A787" s="16"/>
      <c r="B787" s="16"/>
      <c r="C787" s="16"/>
    </row>
    <row r="788">
      <c r="A788" s="16"/>
      <c r="B788" s="16"/>
      <c r="C788" s="16"/>
    </row>
    <row r="789">
      <c r="A789" s="16"/>
      <c r="B789" s="16"/>
      <c r="C789" s="16"/>
    </row>
    <row r="790">
      <c r="A790" s="16"/>
      <c r="B790" s="16"/>
      <c r="C790" s="16"/>
    </row>
    <row r="791">
      <c r="A791" s="16"/>
      <c r="B791" s="16"/>
      <c r="C791" s="16"/>
    </row>
    <row r="792">
      <c r="A792" s="16"/>
      <c r="B792" s="16"/>
      <c r="C792" s="16"/>
    </row>
    <row r="793">
      <c r="A793" s="16"/>
      <c r="B793" s="16"/>
      <c r="C793" s="16"/>
    </row>
    <row r="794">
      <c r="A794" s="16"/>
      <c r="B794" s="16"/>
      <c r="C794" s="16"/>
    </row>
    <row r="795">
      <c r="A795" s="16"/>
      <c r="B795" s="16"/>
      <c r="C795" s="16"/>
    </row>
    <row r="796">
      <c r="A796" s="16"/>
      <c r="B796" s="16"/>
      <c r="C796" s="16"/>
    </row>
    <row r="797">
      <c r="A797" s="16"/>
      <c r="B797" s="16"/>
      <c r="C797" s="16"/>
    </row>
    <row r="798">
      <c r="A798" s="16"/>
      <c r="B798" s="16"/>
      <c r="C798" s="16"/>
    </row>
    <row r="799">
      <c r="A799" s="16"/>
      <c r="B799" s="16"/>
      <c r="C799" s="16"/>
    </row>
    <row r="800">
      <c r="A800" s="16"/>
      <c r="B800" s="16"/>
      <c r="C800" s="16"/>
    </row>
    <row r="801">
      <c r="A801" s="16"/>
      <c r="B801" s="16"/>
      <c r="C801" s="16"/>
    </row>
    <row r="802">
      <c r="A802" s="16"/>
      <c r="B802" s="16"/>
      <c r="C802" s="16"/>
    </row>
    <row r="803">
      <c r="A803" s="16"/>
      <c r="B803" s="16"/>
      <c r="C803" s="16"/>
    </row>
    <row r="804">
      <c r="A804" s="16"/>
      <c r="B804" s="16"/>
      <c r="C804" s="16"/>
    </row>
    <row r="805">
      <c r="A805" s="16"/>
      <c r="B805" s="16"/>
      <c r="C805" s="16"/>
    </row>
    <row r="806">
      <c r="A806" s="16"/>
      <c r="B806" s="16"/>
      <c r="C806" s="16"/>
    </row>
    <row r="807">
      <c r="A807" s="16"/>
      <c r="B807" s="16"/>
      <c r="C807" s="16"/>
    </row>
    <row r="808">
      <c r="A808" s="16"/>
      <c r="B808" s="16"/>
      <c r="C808" s="16"/>
    </row>
    <row r="809">
      <c r="A809" s="16"/>
      <c r="B809" s="16"/>
      <c r="C809" s="16"/>
    </row>
    <row r="810">
      <c r="A810" s="16"/>
      <c r="B810" s="16"/>
      <c r="C810" s="16"/>
    </row>
    <row r="811">
      <c r="A811" s="16"/>
      <c r="B811" s="16"/>
      <c r="C811" s="16"/>
    </row>
    <row r="812">
      <c r="A812" s="16"/>
      <c r="B812" s="16"/>
      <c r="C812" s="16"/>
    </row>
    <row r="813">
      <c r="A813" s="16"/>
      <c r="B813" s="16"/>
      <c r="C813" s="16"/>
    </row>
    <row r="814">
      <c r="A814" s="16"/>
      <c r="B814" s="16"/>
      <c r="C814" s="16"/>
    </row>
    <row r="815">
      <c r="A815" s="16"/>
      <c r="B815" s="16"/>
      <c r="C815" s="16"/>
    </row>
    <row r="816">
      <c r="A816" s="16"/>
      <c r="B816" s="16"/>
      <c r="C816" s="16"/>
    </row>
    <row r="817">
      <c r="A817" s="16"/>
      <c r="B817" s="16"/>
      <c r="C817" s="16"/>
    </row>
    <row r="818">
      <c r="A818" s="16"/>
      <c r="B818" s="16"/>
      <c r="C818" s="16"/>
    </row>
    <row r="819">
      <c r="A819" s="16"/>
      <c r="B819" s="16"/>
      <c r="C819" s="16"/>
    </row>
    <row r="820">
      <c r="A820" s="16"/>
      <c r="B820" s="16"/>
      <c r="C820" s="16"/>
    </row>
    <row r="821">
      <c r="A821" s="16"/>
      <c r="B821" s="16"/>
      <c r="C821" s="16"/>
    </row>
    <row r="822">
      <c r="A822" s="16"/>
      <c r="B822" s="16"/>
      <c r="C822" s="16"/>
    </row>
    <row r="823">
      <c r="A823" s="16"/>
      <c r="B823" s="16"/>
      <c r="C823" s="16"/>
    </row>
    <row r="824">
      <c r="A824" s="16"/>
      <c r="B824" s="16"/>
      <c r="C824" s="16"/>
    </row>
    <row r="825">
      <c r="A825" s="16"/>
      <c r="B825" s="16"/>
      <c r="C825" s="16"/>
    </row>
    <row r="826">
      <c r="A826" s="16"/>
      <c r="B826" s="16"/>
      <c r="C826" s="16"/>
    </row>
    <row r="827">
      <c r="A827" s="16"/>
      <c r="B827" s="16"/>
      <c r="C827" s="16"/>
    </row>
    <row r="828">
      <c r="A828" s="16"/>
      <c r="B828" s="16"/>
      <c r="C828" s="16"/>
    </row>
    <row r="829">
      <c r="A829" s="16"/>
      <c r="B829" s="16"/>
      <c r="C829" s="16"/>
    </row>
    <row r="830">
      <c r="A830" s="16"/>
      <c r="B830" s="16"/>
      <c r="C830" s="16"/>
    </row>
    <row r="831">
      <c r="A831" s="16"/>
      <c r="B831" s="16"/>
      <c r="C831" s="16"/>
    </row>
    <row r="832">
      <c r="A832" s="16"/>
      <c r="B832" s="16"/>
      <c r="C832" s="16"/>
    </row>
    <row r="833">
      <c r="A833" s="16"/>
      <c r="B833" s="16"/>
      <c r="C833" s="16"/>
    </row>
    <row r="834">
      <c r="A834" s="16"/>
      <c r="B834" s="16"/>
      <c r="C834" s="16"/>
    </row>
    <row r="835">
      <c r="A835" s="16"/>
      <c r="B835" s="16"/>
      <c r="C835" s="16"/>
    </row>
    <row r="836">
      <c r="A836" s="16"/>
      <c r="B836" s="16"/>
      <c r="C836" s="16"/>
    </row>
    <row r="837">
      <c r="A837" s="16"/>
      <c r="B837" s="16"/>
      <c r="C837" s="16"/>
    </row>
    <row r="838">
      <c r="A838" s="16"/>
      <c r="B838" s="16"/>
      <c r="C838" s="16"/>
    </row>
    <row r="839">
      <c r="A839" s="16"/>
      <c r="B839" s="16"/>
      <c r="C839" s="16"/>
    </row>
    <row r="840">
      <c r="A840" s="16"/>
      <c r="B840" s="16"/>
      <c r="C840" s="16"/>
    </row>
    <row r="841">
      <c r="A841" s="16"/>
      <c r="B841" s="16"/>
      <c r="C841" s="16"/>
    </row>
    <row r="842">
      <c r="A842" s="16"/>
      <c r="B842" s="16"/>
      <c r="C842" s="16"/>
    </row>
    <row r="843">
      <c r="A843" s="16"/>
      <c r="B843" s="16"/>
      <c r="C843" s="16"/>
    </row>
    <row r="844">
      <c r="A844" s="16"/>
      <c r="B844" s="16"/>
      <c r="C844" s="16"/>
    </row>
    <row r="845">
      <c r="A845" s="16"/>
      <c r="B845" s="16"/>
      <c r="C845" s="16"/>
    </row>
    <row r="846">
      <c r="A846" s="16"/>
      <c r="B846" s="16"/>
      <c r="C846" s="16"/>
    </row>
    <row r="847">
      <c r="A847" s="16"/>
      <c r="B847" s="16"/>
      <c r="C847" s="16"/>
    </row>
    <row r="848">
      <c r="A848" s="16"/>
      <c r="B848" s="16"/>
      <c r="C848" s="16"/>
    </row>
    <row r="849">
      <c r="A849" s="16"/>
      <c r="B849" s="16"/>
      <c r="C849" s="16"/>
    </row>
    <row r="850">
      <c r="A850" s="16"/>
      <c r="B850" s="16"/>
      <c r="C850" s="16"/>
    </row>
    <row r="851">
      <c r="A851" s="16"/>
      <c r="B851" s="16"/>
      <c r="C851" s="16"/>
    </row>
    <row r="852">
      <c r="A852" s="16"/>
      <c r="B852" s="16"/>
      <c r="C852" s="16"/>
    </row>
    <row r="853">
      <c r="A853" s="16"/>
      <c r="B853" s="16"/>
      <c r="C853" s="16"/>
    </row>
    <row r="854">
      <c r="A854" s="16"/>
      <c r="B854" s="16"/>
      <c r="C854" s="16"/>
    </row>
    <row r="855">
      <c r="A855" s="16"/>
      <c r="B855" s="16"/>
      <c r="C855" s="16"/>
    </row>
    <row r="856">
      <c r="A856" s="16"/>
      <c r="B856" s="16"/>
      <c r="C856" s="16"/>
    </row>
    <row r="857">
      <c r="A857" s="16"/>
      <c r="B857" s="16"/>
      <c r="C857" s="16"/>
    </row>
    <row r="858">
      <c r="A858" s="16"/>
      <c r="B858" s="16"/>
      <c r="C858" s="16"/>
    </row>
    <row r="859">
      <c r="A859" s="16"/>
      <c r="B859" s="16"/>
      <c r="C859" s="16"/>
    </row>
    <row r="860">
      <c r="A860" s="16"/>
      <c r="B860" s="16"/>
      <c r="C860" s="16"/>
    </row>
    <row r="861">
      <c r="A861" s="16"/>
      <c r="B861" s="16"/>
      <c r="C861" s="16"/>
    </row>
    <row r="862">
      <c r="A862" s="16"/>
      <c r="B862" s="16"/>
      <c r="C862" s="16"/>
    </row>
    <row r="863">
      <c r="A863" s="16"/>
      <c r="B863" s="16"/>
      <c r="C863" s="16"/>
    </row>
    <row r="864">
      <c r="A864" s="16"/>
      <c r="B864" s="16"/>
      <c r="C864" s="16"/>
    </row>
    <row r="865">
      <c r="A865" s="16"/>
      <c r="B865" s="16"/>
      <c r="C865" s="16"/>
    </row>
    <row r="866">
      <c r="A866" s="16"/>
      <c r="B866" s="16"/>
      <c r="C866" s="16"/>
    </row>
    <row r="867">
      <c r="A867" s="16"/>
      <c r="B867" s="16"/>
      <c r="C867" s="16"/>
    </row>
    <row r="868">
      <c r="A868" s="16"/>
      <c r="B868" s="16"/>
      <c r="C868" s="16"/>
    </row>
    <row r="869">
      <c r="A869" s="16"/>
      <c r="B869" s="16"/>
      <c r="C869" s="16"/>
    </row>
    <row r="870">
      <c r="A870" s="16"/>
      <c r="B870" s="16"/>
      <c r="C870" s="16"/>
    </row>
    <row r="871">
      <c r="A871" s="16"/>
      <c r="B871" s="16"/>
      <c r="C871" s="16"/>
    </row>
    <row r="872">
      <c r="A872" s="16"/>
      <c r="B872" s="16"/>
      <c r="C872" s="16"/>
    </row>
    <row r="873">
      <c r="A873" s="16"/>
      <c r="B873" s="16"/>
      <c r="C873" s="16"/>
    </row>
    <row r="874">
      <c r="A874" s="16"/>
      <c r="B874" s="16"/>
      <c r="C874" s="16"/>
    </row>
    <row r="875">
      <c r="A875" s="16"/>
      <c r="B875" s="16"/>
      <c r="C875" s="16"/>
    </row>
    <row r="876">
      <c r="A876" s="16"/>
      <c r="B876" s="16"/>
      <c r="C876" s="16"/>
    </row>
    <row r="877">
      <c r="A877" s="16"/>
      <c r="B877" s="16"/>
      <c r="C877" s="16"/>
    </row>
    <row r="878">
      <c r="A878" s="16"/>
      <c r="B878" s="16"/>
      <c r="C878" s="16"/>
    </row>
    <row r="879">
      <c r="A879" s="16"/>
      <c r="B879" s="16"/>
      <c r="C879" s="16"/>
    </row>
    <row r="880">
      <c r="A880" s="16"/>
      <c r="B880" s="16"/>
      <c r="C880" s="16"/>
    </row>
    <row r="881">
      <c r="A881" s="16"/>
      <c r="B881" s="16"/>
      <c r="C881" s="16"/>
    </row>
    <row r="882">
      <c r="A882" s="16"/>
      <c r="B882" s="16"/>
      <c r="C882" s="16"/>
    </row>
    <row r="883">
      <c r="A883" s="16"/>
      <c r="B883" s="16"/>
      <c r="C883" s="16"/>
    </row>
    <row r="884">
      <c r="A884" s="16"/>
      <c r="B884" s="16"/>
      <c r="C884" s="16"/>
    </row>
    <row r="885">
      <c r="A885" s="16"/>
      <c r="B885" s="16"/>
      <c r="C885" s="16"/>
    </row>
    <row r="886">
      <c r="A886" s="16"/>
      <c r="B886" s="16"/>
      <c r="C886" s="16"/>
    </row>
    <row r="887">
      <c r="A887" s="16"/>
      <c r="B887" s="16"/>
      <c r="C887" s="16"/>
    </row>
    <row r="888">
      <c r="A888" s="16"/>
      <c r="B888" s="16"/>
      <c r="C888" s="16"/>
    </row>
    <row r="889">
      <c r="A889" s="16"/>
      <c r="B889" s="16"/>
      <c r="C889" s="16"/>
    </row>
    <row r="890">
      <c r="A890" s="16"/>
      <c r="B890" s="16"/>
      <c r="C890" s="16"/>
    </row>
    <row r="891">
      <c r="A891" s="16"/>
      <c r="B891" s="16"/>
      <c r="C891" s="16"/>
    </row>
    <row r="892">
      <c r="A892" s="16"/>
      <c r="B892" s="16"/>
      <c r="C892" s="16"/>
    </row>
    <row r="893">
      <c r="A893" s="16"/>
      <c r="B893" s="16"/>
      <c r="C893" s="16"/>
    </row>
    <row r="894">
      <c r="A894" s="16"/>
      <c r="B894" s="16"/>
      <c r="C894" s="16"/>
    </row>
    <row r="895">
      <c r="A895" s="16"/>
      <c r="B895" s="16"/>
      <c r="C895" s="16"/>
    </row>
    <row r="896">
      <c r="A896" s="16"/>
      <c r="B896" s="16"/>
      <c r="C896" s="16"/>
    </row>
    <row r="897">
      <c r="A897" s="16"/>
      <c r="B897" s="16"/>
      <c r="C897" s="16"/>
    </row>
    <row r="898">
      <c r="A898" s="16"/>
      <c r="B898" s="16"/>
      <c r="C898" s="16"/>
    </row>
    <row r="899">
      <c r="A899" s="16"/>
      <c r="B899" s="16"/>
      <c r="C899" s="16"/>
    </row>
    <row r="900">
      <c r="A900" s="16"/>
      <c r="B900" s="16"/>
      <c r="C900" s="16"/>
    </row>
    <row r="901">
      <c r="A901" s="16"/>
      <c r="B901" s="16"/>
      <c r="C901" s="16"/>
    </row>
    <row r="902">
      <c r="A902" s="16"/>
      <c r="B902" s="16"/>
      <c r="C902" s="16"/>
    </row>
    <row r="903">
      <c r="A903" s="16"/>
      <c r="B903" s="16"/>
      <c r="C903" s="16"/>
    </row>
    <row r="904">
      <c r="A904" s="16"/>
      <c r="B904" s="16"/>
      <c r="C904" s="16"/>
    </row>
    <row r="905">
      <c r="A905" s="16"/>
      <c r="B905" s="16"/>
      <c r="C905" s="16"/>
    </row>
    <row r="906">
      <c r="A906" s="16"/>
      <c r="B906" s="16"/>
      <c r="C906" s="16"/>
    </row>
    <row r="907">
      <c r="A907" s="16"/>
      <c r="B907" s="16"/>
      <c r="C907" s="16"/>
    </row>
    <row r="908">
      <c r="A908" s="16"/>
      <c r="B908" s="16"/>
      <c r="C908" s="16"/>
    </row>
    <row r="909">
      <c r="A909" s="16"/>
      <c r="B909" s="16"/>
      <c r="C909" s="16"/>
    </row>
    <row r="910">
      <c r="A910" s="16"/>
      <c r="B910" s="16"/>
      <c r="C910" s="16"/>
    </row>
    <row r="911">
      <c r="A911" s="16"/>
      <c r="B911" s="16"/>
      <c r="C911" s="16"/>
    </row>
    <row r="912">
      <c r="A912" s="16"/>
      <c r="B912" s="16"/>
      <c r="C912" s="16"/>
    </row>
    <row r="913">
      <c r="A913" s="16"/>
      <c r="B913" s="16"/>
      <c r="C913" s="16"/>
    </row>
    <row r="914">
      <c r="A914" s="16"/>
      <c r="B914" s="16"/>
      <c r="C914" s="16"/>
    </row>
    <row r="915">
      <c r="A915" s="16"/>
      <c r="B915" s="16"/>
      <c r="C915" s="16"/>
    </row>
    <row r="916">
      <c r="A916" s="16"/>
      <c r="B916" s="16"/>
      <c r="C916" s="16"/>
    </row>
    <row r="917">
      <c r="A917" s="16"/>
      <c r="B917" s="16"/>
      <c r="C917" s="16"/>
    </row>
    <row r="918">
      <c r="A918" s="16"/>
      <c r="B918" s="16"/>
      <c r="C918" s="16"/>
    </row>
    <row r="919">
      <c r="A919" s="16"/>
      <c r="B919" s="16"/>
      <c r="C919" s="16"/>
    </row>
    <row r="920">
      <c r="A920" s="16"/>
      <c r="B920" s="16"/>
      <c r="C920" s="16"/>
    </row>
    <row r="921">
      <c r="A921" s="16"/>
      <c r="B921" s="16"/>
      <c r="C921" s="16"/>
    </row>
    <row r="922">
      <c r="A922" s="16"/>
      <c r="B922" s="16"/>
      <c r="C922" s="16"/>
    </row>
    <row r="923">
      <c r="A923" s="16"/>
      <c r="B923" s="16"/>
      <c r="C923" s="16"/>
    </row>
    <row r="924">
      <c r="A924" s="16"/>
      <c r="B924" s="16"/>
      <c r="C924" s="16"/>
    </row>
    <row r="925">
      <c r="A925" s="16"/>
      <c r="B925" s="16"/>
      <c r="C925" s="16"/>
    </row>
    <row r="926">
      <c r="A926" s="16"/>
      <c r="B926" s="16"/>
      <c r="C926" s="16"/>
    </row>
    <row r="927">
      <c r="A927" s="16"/>
      <c r="B927" s="16"/>
      <c r="C927" s="16"/>
    </row>
    <row r="928">
      <c r="A928" s="16"/>
      <c r="B928" s="16"/>
      <c r="C928" s="16"/>
    </row>
    <row r="929">
      <c r="A929" s="16"/>
      <c r="B929" s="16"/>
      <c r="C929" s="16"/>
    </row>
    <row r="930">
      <c r="A930" s="16"/>
      <c r="B930" s="16"/>
      <c r="C930" s="16"/>
    </row>
    <row r="931">
      <c r="A931" s="16"/>
      <c r="B931" s="16"/>
      <c r="C931" s="16"/>
    </row>
    <row r="932">
      <c r="A932" s="16"/>
      <c r="B932" s="16"/>
      <c r="C932" s="16"/>
    </row>
    <row r="933">
      <c r="A933" s="16"/>
      <c r="B933" s="16"/>
      <c r="C933" s="16"/>
    </row>
    <row r="934">
      <c r="A934" s="16"/>
      <c r="B934" s="16"/>
      <c r="C934" s="16"/>
    </row>
    <row r="935">
      <c r="A935" s="16"/>
      <c r="B935" s="16"/>
      <c r="C935" s="16"/>
    </row>
    <row r="936">
      <c r="A936" s="16"/>
      <c r="B936" s="16"/>
      <c r="C936" s="16"/>
    </row>
    <row r="937">
      <c r="A937" s="16"/>
      <c r="B937" s="16"/>
      <c r="C937" s="16"/>
    </row>
    <row r="938">
      <c r="A938" s="16"/>
      <c r="B938" s="16"/>
      <c r="C938" s="16"/>
    </row>
    <row r="939">
      <c r="A939" s="16"/>
      <c r="B939" s="16"/>
      <c r="C939" s="16"/>
    </row>
    <row r="940">
      <c r="A940" s="16"/>
      <c r="B940" s="16"/>
      <c r="C940" s="16"/>
    </row>
    <row r="941">
      <c r="A941" s="16"/>
      <c r="B941" s="16"/>
      <c r="C941" s="16"/>
    </row>
    <row r="942">
      <c r="A942" s="16"/>
      <c r="B942" s="16"/>
      <c r="C942" s="16"/>
    </row>
    <row r="943">
      <c r="A943" s="16"/>
      <c r="B943" s="16"/>
      <c r="C943" s="16"/>
    </row>
    <row r="944">
      <c r="A944" s="16"/>
      <c r="B944" s="16"/>
      <c r="C944" s="16"/>
    </row>
    <row r="945">
      <c r="A945" s="16"/>
      <c r="B945" s="16"/>
      <c r="C945" s="16"/>
    </row>
    <row r="946">
      <c r="A946" s="16"/>
      <c r="B946" s="16"/>
      <c r="C946" s="16"/>
    </row>
    <row r="947">
      <c r="A947" s="16"/>
      <c r="B947" s="16"/>
      <c r="C947" s="16"/>
    </row>
    <row r="948">
      <c r="A948" s="16"/>
      <c r="B948" s="16"/>
      <c r="C948" s="16"/>
    </row>
    <row r="949">
      <c r="A949" s="16"/>
      <c r="B949" s="16"/>
      <c r="C949" s="16"/>
    </row>
    <row r="950">
      <c r="A950" s="16"/>
      <c r="B950" s="16"/>
      <c r="C950" s="16"/>
    </row>
    <row r="951">
      <c r="A951" s="16"/>
      <c r="B951" s="16"/>
      <c r="C951" s="16"/>
    </row>
    <row r="952">
      <c r="A952" s="16"/>
      <c r="B952" s="16"/>
      <c r="C952" s="16"/>
    </row>
    <row r="953">
      <c r="A953" s="16"/>
      <c r="B953" s="16"/>
      <c r="C953" s="16"/>
    </row>
    <row r="954">
      <c r="A954" s="16"/>
      <c r="B954" s="16"/>
      <c r="C954" s="16"/>
    </row>
    <row r="955">
      <c r="A955" s="16"/>
      <c r="B955" s="16"/>
      <c r="C955" s="16"/>
    </row>
    <row r="956">
      <c r="A956" s="16"/>
      <c r="B956" s="16"/>
      <c r="C956" s="16"/>
    </row>
    <row r="957">
      <c r="A957" s="16"/>
      <c r="B957" s="16"/>
      <c r="C957" s="16"/>
    </row>
    <row r="958">
      <c r="A958" s="16"/>
      <c r="B958" s="16"/>
      <c r="C958" s="16"/>
    </row>
    <row r="959">
      <c r="A959" s="16"/>
      <c r="B959" s="16"/>
      <c r="C959" s="16"/>
    </row>
    <row r="960">
      <c r="A960" s="16"/>
      <c r="B960" s="16"/>
      <c r="C960" s="16"/>
    </row>
    <row r="961">
      <c r="A961" s="16"/>
      <c r="B961" s="16"/>
      <c r="C961" s="16"/>
    </row>
    <row r="962">
      <c r="A962" s="16"/>
      <c r="B962" s="16"/>
      <c r="C962" s="16"/>
    </row>
    <row r="963">
      <c r="A963" s="16"/>
      <c r="B963" s="16"/>
      <c r="C963" s="16"/>
    </row>
    <row r="964">
      <c r="A964" s="16"/>
      <c r="B964" s="16"/>
      <c r="C964" s="16"/>
    </row>
    <row r="965">
      <c r="A965" s="16"/>
      <c r="B965" s="16"/>
      <c r="C965" s="16"/>
    </row>
    <row r="966">
      <c r="A966" s="16"/>
      <c r="B966" s="16"/>
      <c r="C966" s="16"/>
    </row>
    <row r="967">
      <c r="A967" s="16"/>
      <c r="B967" s="16"/>
      <c r="C967" s="16"/>
    </row>
    <row r="968">
      <c r="A968" s="16"/>
      <c r="B968" s="16"/>
      <c r="C968" s="16"/>
    </row>
    <row r="969">
      <c r="A969" s="16"/>
      <c r="B969" s="16"/>
      <c r="C969" s="16"/>
    </row>
    <row r="970">
      <c r="A970" s="16"/>
      <c r="B970" s="16"/>
      <c r="C970" s="16"/>
    </row>
    <row r="971">
      <c r="A971" s="16"/>
      <c r="B971" s="16"/>
      <c r="C971" s="16"/>
    </row>
    <row r="972">
      <c r="A972" s="16"/>
      <c r="B972" s="16"/>
      <c r="C972" s="16"/>
    </row>
    <row r="973">
      <c r="A973" s="16"/>
      <c r="B973" s="16"/>
      <c r="C973" s="16"/>
    </row>
    <row r="974">
      <c r="A974" s="16"/>
      <c r="B974" s="16"/>
      <c r="C974" s="16"/>
    </row>
    <row r="975">
      <c r="A975" s="16"/>
      <c r="B975" s="16"/>
      <c r="C975" s="16"/>
    </row>
    <row r="976">
      <c r="A976" s="16"/>
      <c r="B976" s="16"/>
      <c r="C976" s="16"/>
    </row>
    <row r="977">
      <c r="A977" s="16"/>
      <c r="B977" s="16"/>
      <c r="C977" s="16"/>
    </row>
    <row r="978">
      <c r="A978" s="16"/>
      <c r="B978" s="16"/>
      <c r="C978" s="16"/>
    </row>
    <row r="979">
      <c r="A979" s="16"/>
      <c r="B979" s="16"/>
      <c r="C979" s="16"/>
    </row>
    <row r="980">
      <c r="A980" s="16"/>
      <c r="B980" s="16"/>
      <c r="C980" s="16"/>
    </row>
    <row r="981">
      <c r="A981" s="16"/>
      <c r="B981" s="16"/>
      <c r="C981" s="16"/>
    </row>
    <row r="982">
      <c r="A982" s="16"/>
      <c r="B982" s="16"/>
      <c r="C982" s="16"/>
    </row>
    <row r="983">
      <c r="A983" s="16"/>
      <c r="B983" s="16"/>
      <c r="C983" s="16"/>
    </row>
    <row r="984">
      <c r="A984" s="16"/>
      <c r="B984" s="16"/>
      <c r="C984" s="16"/>
    </row>
    <row r="985">
      <c r="A985" s="16"/>
      <c r="B985" s="16"/>
      <c r="C985" s="16"/>
    </row>
    <row r="986">
      <c r="A986" s="16"/>
      <c r="B986" s="16"/>
      <c r="C986" s="16"/>
    </row>
    <row r="987">
      <c r="A987" s="16"/>
      <c r="B987" s="16"/>
      <c r="C987" s="16"/>
    </row>
    <row r="988">
      <c r="A988" s="16"/>
      <c r="B988" s="16"/>
      <c r="C988" s="16"/>
    </row>
    <row r="989">
      <c r="A989" s="16"/>
      <c r="B989" s="16"/>
      <c r="C989" s="16"/>
    </row>
    <row r="990">
      <c r="A990" s="16"/>
      <c r="B990" s="16"/>
      <c r="C990" s="16"/>
    </row>
    <row r="991">
      <c r="A991" s="16"/>
      <c r="B991" s="16"/>
      <c r="C991" s="16"/>
    </row>
    <row r="992">
      <c r="A992" s="16"/>
      <c r="B992" s="16"/>
      <c r="C992" s="16"/>
    </row>
    <row r="993">
      <c r="A993" s="16"/>
      <c r="B993" s="16"/>
      <c r="C993" s="16"/>
    </row>
    <row r="994">
      <c r="A994" s="16"/>
      <c r="B994" s="16"/>
      <c r="C994" s="16"/>
    </row>
    <row r="995">
      <c r="A995" s="16"/>
      <c r="B995" s="16"/>
      <c r="C995" s="16"/>
    </row>
    <row r="996">
      <c r="A996" s="16"/>
      <c r="B996" s="16"/>
      <c r="C996" s="16"/>
    </row>
    <row r="997">
      <c r="A997" s="16"/>
      <c r="B997" s="16"/>
      <c r="C997" s="16"/>
    </row>
    <row r="998">
      <c r="A998" s="16"/>
      <c r="B998" s="16"/>
      <c r="C998" s="16"/>
    </row>
    <row r="999">
      <c r="A999" s="16"/>
      <c r="B999" s="16"/>
      <c r="C999" s="16"/>
    </row>
    <row r="1000">
      <c r="A1000" s="16"/>
      <c r="B1000" s="16"/>
      <c r="C1000" s="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13"/>
  </cols>
  <sheetData>
    <row r="1">
      <c r="A1" s="16" t="s">
        <v>0</v>
      </c>
      <c r="B1" s="16" t="s">
        <v>542</v>
      </c>
      <c r="C1" s="16" t="s">
        <v>543</v>
      </c>
      <c r="D1" s="16" t="s">
        <v>643</v>
      </c>
      <c r="E1" s="2" t="s">
        <v>644</v>
      </c>
    </row>
    <row r="2">
      <c r="A2" s="16" t="s">
        <v>551</v>
      </c>
      <c r="B2" s="16" t="s">
        <v>645</v>
      </c>
      <c r="C2" s="17">
        <v>59894.0</v>
      </c>
      <c r="D2" s="17">
        <v>1.0</v>
      </c>
      <c r="E2" s="3" t="str">
        <f t="shared" ref="E2:E159" si="1">CONCATENATE(UPPER(A2),"_",UPPER(B2))</f>
        <v>ADAMAWA_DEMSA</v>
      </c>
    </row>
    <row r="3">
      <c r="A3" s="16" t="s">
        <v>551</v>
      </c>
      <c r="B3" s="16" t="s">
        <v>646</v>
      </c>
      <c r="C3" s="17">
        <v>75465.0</v>
      </c>
      <c r="D3" s="17">
        <v>1.0</v>
      </c>
      <c r="E3" s="3" t="str">
        <f t="shared" si="1"/>
        <v>ADAMAWA_FUFORE</v>
      </c>
    </row>
    <row r="4">
      <c r="A4" s="16" t="s">
        <v>551</v>
      </c>
      <c r="B4" s="16" t="s">
        <v>647</v>
      </c>
      <c r="C4" s="17">
        <v>50873.0</v>
      </c>
      <c r="D4" s="17">
        <v>1.0</v>
      </c>
      <c r="E4" s="3" t="str">
        <f t="shared" si="1"/>
        <v>ADAMAWA_GANYE</v>
      </c>
    </row>
    <row r="5">
      <c r="A5" s="16" t="s">
        <v>551</v>
      </c>
      <c r="B5" s="16" t="s">
        <v>648</v>
      </c>
      <c r="C5" s="17">
        <v>45686.0</v>
      </c>
      <c r="D5" s="17">
        <v>1.0</v>
      </c>
      <c r="E5" s="3" t="str">
        <f t="shared" si="1"/>
        <v>ADAMAWA_GIREI</v>
      </c>
    </row>
    <row r="6">
      <c r="A6" s="16" t="s">
        <v>551</v>
      </c>
      <c r="B6" s="16" t="s">
        <v>649</v>
      </c>
      <c r="C6" s="17">
        <v>48636.0</v>
      </c>
      <c r="D6" s="17">
        <v>1.0</v>
      </c>
      <c r="E6" s="3" t="str">
        <f t="shared" si="1"/>
        <v>ADAMAWA_GOMBI</v>
      </c>
    </row>
    <row r="7">
      <c r="A7" s="16" t="s">
        <v>551</v>
      </c>
      <c r="B7" s="16" t="s">
        <v>650</v>
      </c>
      <c r="C7" s="17">
        <v>58862.0</v>
      </c>
      <c r="D7" s="17">
        <v>1.0</v>
      </c>
      <c r="E7" s="3" t="str">
        <f t="shared" si="1"/>
        <v>ADAMAWA_GUYUK</v>
      </c>
    </row>
    <row r="8">
      <c r="A8" s="16" t="s">
        <v>551</v>
      </c>
      <c r="B8" s="16" t="s">
        <v>651</v>
      </c>
      <c r="C8" s="17">
        <v>46750.0</v>
      </c>
      <c r="D8" s="17">
        <v>1.0</v>
      </c>
      <c r="E8" s="3" t="str">
        <f t="shared" si="1"/>
        <v>ADAMAWA_HONG</v>
      </c>
    </row>
    <row r="9">
      <c r="A9" s="16" t="s">
        <v>551</v>
      </c>
      <c r="B9" s="16" t="s">
        <v>652</v>
      </c>
      <c r="C9" s="17">
        <v>52716.0</v>
      </c>
      <c r="D9" s="17">
        <v>1.0</v>
      </c>
      <c r="E9" s="3" t="str">
        <f t="shared" si="1"/>
        <v>ADAMAWA_JADA</v>
      </c>
    </row>
    <row r="10">
      <c r="A10" s="16" t="s">
        <v>551</v>
      </c>
      <c r="B10" s="16" t="s">
        <v>653</v>
      </c>
      <c r="C10" s="17">
        <v>31831.0</v>
      </c>
      <c r="D10" s="17">
        <v>1.0</v>
      </c>
      <c r="E10" s="3" t="str">
        <f t="shared" si="1"/>
        <v>ADAMAWA_LAMURDE</v>
      </c>
    </row>
    <row r="11">
      <c r="A11" s="16" t="s">
        <v>551</v>
      </c>
      <c r="B11" s="16" t="s">
        <v>654</v>
      </c>
      <c r="C11" s="17">
        <v>55945.0</v>
      </c>
      <c r="D11" s="17">
        <v>1.0</v>
      </c>
      <c r="E11" s="3" t="str">
        <f t="shared" si="1"/>
        <v>ADAMAWA_MADAGALI</v>
      </c>
    </row>
    <row r="12">
      <c r="A12" s="16" t="s">
        <v>551</v>
      </c>
      <c r="B12" s="16" t="s">
        <v>655</v>
      </c>
      <c r="C12" s="17">
        <v>40695.0</v>
      </c>
      <c r="D12" s="17">
        <v>1.0</v>
      </c>
      <c r="E12" s="3" t="str">
        <f t="shared" si="1"/>
        <v>ADAMAWA_MAIHA</v>
      </c>
    </row>
    <row r="13">
      <c r="A13" s="16" t="s">
        <v>551</v>
      </c>
      <c r="B13" s="16" t="s">
        <v>656</v>
      </c>
      <c r="C13" s="17">
        <v>93535.0</v>
      </c>
      <c r="D13" s="17">
        <v>1.0</v>
      </c>
      <c r="E13" s="3" t="str">
        <f t="shared" si="1"/>
        <v>ADAMAWA_MAYO BELWA</v>
      </c>
    </row>
    <row r="14">
      <c r="A14" s="16" t="s">
        <v>551</v>
      </c>
      <c r="B14" s="16" t="s">
        <v>657</v>
      </c>
      <c r="C14" s="17">
        <v>45984.0</v>
      </c>
      <c r="D14" s="17">
        <v>1.0</v>
      </c>
      <c r="E14" s="3" t="str">
        <f t="shared" si="1"/>
        <v>ADAMAWA_MICHIKA</v>
      </c>
    </row>
    <row r="15">
      <c r="A15" s="16" t="s">
        <v>551</v>
      </c>
      <c r="B15" s="16" t="s">
        <v>658</v>
      </c>
      <c r="C15" s="17">
        <v>38841.0</v>
      </c>
      <c r="D15" s="17">
        <v>1.0</v>
      </c>
      <c r="E15" s="3" t="str">
        <f t="shared" si="1"/>
        <v>ADAMAWA_MUBI NORTH</v>
      </c>
    </row>
    <row r="16">
      <c r="A16" s="16" t="s">
        <v>551</v>
      </c>
      <c r="B16" s="16" t="s">
        <v>659</v>
      </c>
      <c r="C16" s="17">
        <v>50615.0</v>
      </c>
      <c r="D16" s="17">
        <v>1.0</v>
      </c>
      <c r="E16" s="3" t="str">
        <f t="shared" si="1"/>
        <v>ADAMAWA_MUBI SOUTH</v>
      </c>
    </row>
    <row r="17">
      <c r="A17" s="16" t="s">
        <v>551</v>
      </c>
      <c r="B17" s="16" t="s">
        <v>660</v>
      </c>
      <c r="C17" s="17">
        <v>36716.0</v>
      </c>
      <c r="D17" s="17">
        <v>1.0</v>
      </c>
      <c r="E17" s="3" t="str">
        <f t="shared" si="1"/>
        <v>ADAMAWA_NUMAN</v>
      </c>
    </row>
    <row r="18">
      <c r="A18" s="16" t="s">
        <v>551</v>
      </c>
      <c r="B18" s="16" t="s">
        <v>661</v>
      </c>
      <c r="C18" s="17">
        <v>50898.0</v>
      </c>
      <c r="D18" s="17">
        <v>1.0</v>
      </c>
      <c r="E18" s="3" t="str">
        <f t="shared" si="1"/>
        <v>ADAMAWA_SHELLENG</v>
      </c>
    </row>
    <row r="19">
      <c r="A19" s="16" t="s">
        <v>551</v>
      </c>
      <c r="B19" s="16" t="s">
        <v>662</v>
      </c>
      <c r="C19" s="17">
        <v>83227.0</v>
      </c>
      <c r="D19" s="17">
        <v>1.0</v>
      </c>
      <c r="E19" s="3" t="str">
        <f t="shared" si="1"/>
        <v>ADAMAWA_SONG</v>
      </c>
    </row>
    <row r="20">
      <c r="A20" s="16" t="s">
        <v>551</v>
      </c>
      <c r="B20" s="16" t="s">
        <v>663</v>
      </c>
      <c r="C20" s="17">
        <v>31101.0</v>
      </c>
      <c r="D20" s="17">
        <v>1.0</v>
      </c>
      <c r="E20" s="3" t="str">
        <f t="shared" si="1"/>
        <v>ADAMAWA_TOUNGO</v>
      </c>
    </row>
    <row r="21">
      <c r="A21" s="16" t="s">
        <v>551</v>
      </c>
      <c r="B21" s="16" t="s">
        <v>664</v>
      </c>
      <c r="C21" s="17">
        <v>38447.0</v>
      </c>
      <c r="D21" s="17">
        <v>1.0</v>
      </c>
      <c r="E21" s="3" t="str">
        <f t="shared" si="1"/>
        <v>ADAMAWA_YOLA NORTH</v>
      </c>
    </row>
    <row r="22">
      <c r="A22" s="16" t="s">
        <v>551</v>
      </c>
      <c r="B22" s="16" t="s">
        <v>665</v>
      </c>
      <c r="C22" s="17">
        <v>116690.0</v>
      </c>
      <c r="D22" s="17">
        <v>1.0</v>
      </c>
      <c r="E22" s="3" t="str">
        <f t="shared" si="1"/>
        <v>ADAMAWA_YOLA SOUTH</v>
      </c>
    </row>
    <row r="23">
      <c r="A23" s="16" t="s">
        <v>546</v>
      </c>
      <c r="B23" s="16" t="s">
        <v>666</v>
      </c>
      <c r="C23" s="17">
        <v>55306.0</v>
      </c>
      <c r="D23" s="17">
        <v>2.0</v>
      </c>
      <c r="E23" s="3" t="str">
        <f t="shared" si="1"/>
        <v>BAUCHI_ALKALERI</v>
      </c>
    </row>
    <row r="24">
      <c r="A24" s="16" t="s">
        <v>546</v>
      </c>
      <c r="B24" s="16" t="s">
        <v>546</v>
      </c>
      <c r="C24" s="17">
        <v>157321.0</v>
      </c>
      <c r="D24" s="17">
        <v>2.0</v>
      </c>
      <c r="E24" s="3" t="str">
        <f t="shared" si="1"/>
        <v>BAUCHI_BAUCHI</v>
      </c>
    </row>
    <row r="25">
      <c r="A25" s="16" t="s">
        <v>546</v>
      </c>
      <c r="B25" s="16" t="s">
        <v>667</v>
      </c>
      <c r="C25" s="17">
        <v>26064.0</v>
      </c>
      <c r="D25" s="17">
        <v>2.0</v>
      </c>
      <c r="E25" s="3" t="str">
        <f t="shared" si="1"/>
        <v>BAUCHI_BOGORO</v>
      </c>
    </row>
    <row r="26">
      <c r="A26" s="16" t="s">
        <v>546</v>
      </c>
      <c r="B26" s="16" t="s">
        <v>668</v>
      </c>
      <c r="C26" s="17">
        <v>33458.0</v>
      </c>
      <c r="D26" s="17">
        <v>2.0</v>
      </c>
      <c r="E26" s="3" t="str">
        <f t="shared" si="1"/>
        <v>BAUCHI_DAMBAM</v>
      </c>
    </row>
    <row r="27">
      <c r="A27" s="16" t="s">
        <v>546</v>
      </c>
      <c r="B27" s="16" t="s">
        <v>669</v>
      </c>
      <c r="C27" s="17">
        <v>66959.0</v>
      </c>
      <c r="D27" s="17">
        <v>2.0</v>
      </c>
      <c r="E27" s="3" t="str">
        <f t="shared" si="1"/>
        <v>BAUCHI_DARAZO</v>
      </c>
    </row>
    <row r="28">
      <c r="A28" s="16" t="s">
        <v>546</v>
      </c>
      <c r="B28" s="16" t="s">
        <v>670</v>
      </c>
      <c r="C28" s="17">
        <v>27493.0</v>
      </c>
      <c r="D28" s="17">
        <v>2.0</v>
      </c>
      <c r="E28" s="3" t="str">
        <f t="shared" si="1"/>
        <v>BAUCHI_DASS</v>
      </c>
    </row>
    <row r="29">
      <c r="A29" s="16" t="s">
        <v>546</v>
      </c>
      <c r="B29" s="16" t="s">
        <v>671</v>
      </c>
      <c r="C29" s="17">
        <v>97939.0</v>
      </c>
      <c r="D29" s="17">
        <v>2.0</v>
      </c>
      <c r="E29" s="3" t="str">
        <f t="shared" si="1"/>
        <v>BAUCHI_GAMAWA</v>
      </c>
    </row>
    <row r="30">
      <c r="A30" s="16" t="s">
        <v>546</v>
      </c>
      <c r="B30" s="16" t="s">
        <v>672</v>
      </c>
      <c r="C30" s="17">
        <v>74181.0</v>
      </c>
      <c r="D30" s="17">
        <v>2.0</v>
      </c>
      <c r="E30" s="3" t="str">
        <f t="shared" si="1"/>
        <v>BAUCHI_GANJUWA</v>
      </c>
    </row>
    <row r="31">
      <c r="A31" s="16" t="s">
        <v>546</v>
      </c>
      <c r="B31" s="16" t="s">
        <v>673</v>
      </c>
      <c r="C31" s="17">
        <v>41669.0</v>
      </c>
      <c r="D31" s="17">
        <v>2.0</v>
      </c>
      <c r="E31" s="3" t="str">
        <f t="shared" si="1"/>
        <v>BAUCHI_GIADE</v>
      </c>
    </row>
    <row r="32">
      <c r="A32" s="16" t="s">
        <v>546</v>
      </c>
      <c r="B32" s="16" t="s">
        <v>674</v>
      </c>
      <c r="C32" s="17">
        <v>76434.0</v>
      </c>
      <c r="D32" s="17">
        <v>2.0</v>
      </c>
      <c r="E32" s="3" t="str">
        <f t="shared" si="1"/>
        <v>BAUCHI_ITAS GADAU</v>
      </c>
    </row>
    <row r="33">
      <c r="A33" s="16" t="s">
        <v>546</v>
      </c>
      <c r="B33" s="16" t="s">
        <v>675</v>
      </c>
      <c r="C33" s="17">
        <v>37355.0</v>
      </c>
      <c r="D33" s="17">
        <v>2.0</v>
      </c>
      <c r="E33" s="3" t="str">
        <f t="shared" si="1"/>
        <v>BAUCHI_JAMA'ARE</v>
      </c>
    </row>
    <row r="34">
      <c r="A34" s="16" t="s">
        <v>546</v>
      </c>
      <c r="B34" s="16" t="s">
        <v>676</v>
      </c>
      <c r="C34" s="17">
        <v>75782.0</v>
      </c>
      <c r="D34" s="17">
        <v>2.0</v>
      </c>
      <c r="E34" s="3" t="str">
        <f t="shared" si="1"/>
        <v>BAUCHI_KATAGUM</v>
      </c>
    </row>
    <row r="35">
      <c r="A35" s="16" t="s">
        <v>546</v>
      </c>
      <c r="B35" s="16" t="s">
        <v>677</v>
      </c>
      <c r="C35" s="17">
        <v>30220.0</v>
      </c>
      <c r="D35" s="17">
        <v>2.0</v>
      </c>
      <c r="E35" s="3" t="str">
        <f t="shared" si="1"/>
        <v>BAUCHI_KIRFI</v>
      </c>
    </row>
    <row r="36">
      <c r="A36" s="16" t="s">
        <v>546</v>
      </c>
      <c r="B36" s="16" t="s">
        <v>678</v>
      </c>
      <c r="C36" s="17">
        <v>60182.0</v>
      </c>
      <c r="D36" s="17">
        <v>2.0</v>
      </c>
      <c r="E36" s="3" t="str">
        <f t="shared" si="1"/>
        <v>BAUCHI_MISAU</v>
      </c>
    </row>
    <row r="37">
      <c r="A37" s="16" t="s">
        <v>546</v>
      </c>
      <c r="B37" s="16" t="s">
        <v>679</v>
      </c>
      <c r="C37" s="17">
        <v>83864.0</v>
      </c>
      <c r="D37" s="17">
        <v>2.0</v>
      </c>
      <c r="E37" s="3" t="str">
        <f t="shared" si="1"/>
        <v>BAUCHI_NINGI</v>
      </c>
    </row>
    <row r="38">
      <c r="A38" s="16" t="s">
        <v>546</v>
      </c>
      <c r="B38" s="16" t="s">
        <v>680</v>
      </c>
      <c r="C38" s="17">
        <v>56325.0</v>
      </c>
      <c r="D38" s="17">
        <v>2.0</v>
      </c>
      <c r="E38" s="3" t="str">
        <f t="shared" si="1"/>
        <v>BAUCHI_SHIRA</v>
      </c>
    </row>
    <row r="39">
      <c r="A39" s="16" t="s">
        <v>546</v>
      </c>
      <c r="B39" s="16" t="s">
        <v>681</v>
      </c>
      <c r="C39" s="17">
        <v>80016.0</v>
      </c>
      <c r="D39" s="17">
        <v>2.0</v>
      </c>
      <c r="E39" s="3" t="str">
        <f t="shared" si="1"/>
        <v>BAUCHI_TAFAWA BALEWA</v>
      </c>
    </row>
    <row r="40">
      <c r="A40" s="16" t="s">
        <v>546</v>
      </c>
      <c r="B40" s="16" t="s">
        <v>682</v>
      </c>
      <c r="C40" s="17">
        <v>89658.0</v>
      </c>
      <c r="D40" s="17">
        <v>2.0</v>
      </c>
      <c r="E40" s="3" t="str">
        <f t="shared" si="1"/>
        <v>BAUCHI_TORO</v>
      </c>
    </row>
    <row r="41">
      <c r="A41" s="16" t="s">
        <v>546</v>
      </c>
      <c r="B41" s="16" t="s">
        <v>683</v>
      </c>
      <c r="C41" s="17">
        <v>28852.0</v>
      </c>
      <c r="D41" s="17">
        <v>2.0</v>
      </c>
      <c r="E41" s="3" t="str">
        <f t="shared" si="1"/>
        <v>BAUCHI_WARJI</v>
      </c>
    </row>
    <row r="42">
      <c r="A42" s="16" t="s">
        <v>546</v>
      </c>
      <c r="B42" s="16" t="s">
        <v>684</v>
      </c>
      <c r="C42" s="17">
        <v>49267.0</v>
      </c>
      <c r="D42" s="17">
        <v>2.0</v>
      </c>
      <c r="E42" s="3" t="str">
        <f t="shared" si="1"/>
        <v>BAUCHI_ZAKI</v>
      </c>
    </row>
    <row r="43">
      <c r="A43" s="16" t="s">
        <v>633</v>
      </c>
      <c r="B43" s="16" t="s">
        <v>685</v>
      </c>
      <c r="C43" s="17">
        <v>27171.0</v>
      </c>
      <c r="D43" s="17">
        <v>2.0</v>
      </c>
      <c r="E43" s="3" t="str">
        <f t="shared" si="1"/>
        <v>JIGAWA_AUYO</v>
      </c>
    </row>
    <row r="44">
      <c r="A44" s="16" t="s">
        <v>633</v>
      </c>
      <c r="B44" s="16" t="s">
        <v>686</v>
      </c>
      <c r="C44" s="17">
        <v>58571.0</v>
      </c>
      <c r="D44" s="17">
        <v>2.0</v>
      </c>
      <c r="E44" s="3" t="str">
        <f t="shared" si="1"/>
        <v>JIGAWA_BABURA</v>
      </c>
    </row>
    <row r="45">
      <c r="A45" s="16" t="s">
        <v>633</v>
      </c>
      <c r="B45" s="16" t="s">
        <v>687</v>
      </c>
      <c r="C45" s="17">
        <v>97360.0</v>
      </c>
      <c r="D45" s="17">
        <v>2.0</v>
      </c>
      <c r="E45" s="3" t="str">
        <f t="shared" si="1"/>
        <v>JIGAWA_BIRNIN KUDU</v>
      </c>
    </row>
    <row r="46">
      <c r="A46" s="16" t="s">
        <v>633</v>
      </c>
      <c r="B46" s="16" t="s">
        <v>688</v>
      </c>
      <c r="C46" s="17">
        <v>0.0</v>
      </c>
      <c r="D46" s="17">
        <v>2.0</v>
      </c>
      <c r="E46" s="3" t="str">
        <f t="shared" si="1"/>
        <v>JIGAWA_BIRNIWA</v>
      </c>
    </row>
    <row r="47">
      <c r="A47" s="16" t="s">
        <v>633</v>
      </c>
      <c r="B47" s="16" t="s">
        <v>689</v>
      </c>
      <c r="C47" s="17">
        <v>32031.0</v>
      </c>
      <c r="D47" s="17">
        <v>2.0</v>
      </c>
      <c r="E47" s="3" t="str">
        <f t="shared" si="1"/>
        <v>JIGAWA_BUJI</v>
      </c>
    </row>
    <row r="48">
      <c r="A48" s="16" t="s">
        <v>633</v>
      </c>
      <c r="B48" s="16" t="s">
        <v>690</v>
      </c>
      <c r="C48" s="17">
        <v>65694.0</v>
      </c>
      <c r="D48" s="17">
        <v>2.0</v>
      </c>
      <c r="E48" s="3" t="str">
        <f t="shared" si="1"/>
        <v>JIGAWA_DUTSE</v>
      </c>
    </row>
    <row r="49">
      <c r="A49" s="16" t="s">
        <v>633</v>
      </c>
      <c r="B49" s="16" t="s">
        <v>691</v>
      </c>
      <c r="C49" s="17">
        <v>27825.0</v>
      </c>
      <c r="D49" s="17">
        <v>2.0</v>
      </c>
      <c r="E49" s="3" t="str">
        <f t="shared" si="1"/>
        <v>JIGAWA_GAGARAWA</v>
      </c>
    </row>
    <row r="50">
      <c r="A50" s="16" t="s">
        <v>633</v>
      </c>
      <c r="B50" s="16" t="s">
        <v>692</v>
      </c>
      <c r="C50" s="17">
        <v>40982.0</v>
      </c>
      <c r="D50" s="17">
        <v>2.0</v>
      </c>
      <c r="E50" s="3" t="str">
        <f t="shared" si="1"/>
        <v>JIGAWA_GARKI</v>
      </c>
    </row>
    <row r="51">
      <c r="A51" s="16" t="s">
        <v>633</v>
      </c>
      <c r="B51" s="16" t="s">
        <v>693</v>
      </c>
      <c r="C51" s="17">
        <v>37680.0</v>
      </c>
      <c r="D51" s="17">
        <v>2.0</v>
      </c>
      <c r="E51" s="3" t="str">
        <f t="shared" si="1"/>
        <v>JIGAWA_GUMEL</v>
      </c>
    </row>
    <row r="52">
      <c r="A52" s="16" t="s">
        <v>633</v>
      </c>
      <c r="B52" s="16" t="s">
        <v>694</v>
      </c>
      <c r="C52" s="17">
        <v>27071.0</v>
      </c>
      <c r="D52" s="17">
        <v>2.0</v>
      </c>
      <c r="E52" s="3" t="str">
        <f t="shared" si="1"/>
        <v>JIGAWA_GURI</v>
      </c>
    </row>
    <row r="53">
      <c r="A53" s="16" t="s">
        <v>633</v>
      </c>
      <c r="B53" s="16" t="s">
        <v>695</v>
      </c>
      <c r="C53" s="17">
        <v>71503.0</v>
      </c>
      <c r="D53" s="17">
        <v>2.0</v>
      </c>
      <c r="E53" s="3" t="str">
        <f t="shared" si="1"/>
        <v>JIGAWA_GWARAM</v>
      </c>
    </row>
    <row r="54">
      <c r="A54" s="16" t="s">
        <v>633</v>
      </c>
      <c r="B54" s="16" t="s">
        <v>696</v>
      </c>
      <c r="C54" s="17">
        <v>28565.0</v>
      </c>
      <c r="D54" s="17">
        <v>2.0</v>
      </c>
      <c r="E54" s="3" t="str">
        <f t="shared" si="1"/>
        <v>JIGAWA_GWIWA</v>
      </c>
    </row>
    <row r="55">
      <c r="A55" s="16" t="s">
        <v>633</v>
      </c>
      <c r="B55" s="16" t="s">
        <v>697</v>
      </c>
      <c r="C55" s="17">
        <v>23675.0</v>
      </c>
      <c r="D55" s="17">
        <v>2.0</v>
      </c>
      <c r="E55" s="3" t="str">
        <f t="shared" si="1"/>
        <v>JIGAWA_HADEJIA</v>
      </c>
    </row>
    <row r="56">
      <c r="A56" s="16" t="s">
        <v>633</v>
      </c>
      <c r="B56" s="16" t="s">
        <v>698</v>
      </c>
      <c r="C56" s="17">
        <v>61844.0</v>
      </c>
      <c r="D56" s="17">
        <v>2.0</v>
      </c>
      <c r="E56" s="3" t="str">
        <f t="shared" si="1"/>
        <v>JIGAWA_JAHUN</v>
      </c>
    </row>
    <row r="57">
      <c r="A57" s="16" t="s">
        <v>633</v>
      </c>
      <c r="B57" s="16" t="s">
        <v>699</v>
      </c>
      <c r="C57" s="17">
        <v>63820.0</v>
      </c>
      <c r="D57" s="17">
        <v>2.0</v>
      </c>
      <c r="E57" s="3" t="str">
        <f t="shared" si="1"/>
        <v>JIGAWA_KAFIN HAUSA</v>
      </c>
    </row>
    <row r="58">
      <c r="A58" s="16" t="s">
        <v>633</v>
      </c>
      <c r="B58" s="16" t="s">
        <v>700</v>
      </c>
      <c r="C58" s="17">
        <v>34944.0</v>
      </c>
      <c r="D58" s="17">
        <v>2.0</v>
      </c>
      <c r="E58" s="3" t="str">
        <f t="shared" si="1"/>
        <v>JIGAWA_KAUGAMA</v>
      </c>
    </row>
    <row r="59">
      <c r="A59" s="16" t="s">
        <v>633</v>
      </c>
      <c r="B59" s="16" t="s">
        <v>701</v>
      </c>
      <c r="C59" s="17">
        <v>39298.0</v>
      </c>
      <c r="D59" s="17">
        <v>2.0</v>
      </c>
      <c r="E59" s="3" t="str">
        <f t="shared" si="1"/>
        <v>JIGAWA_KAZAURE</v>
      </c>
    </row>
    <row r="60">
      <c r="A60" s="16" t="s">
        <v>633</v>
      </c>
      <c r="B60" s="16" t="s">
        <v>702</v>
      </c>
      <c r="C60" s="17">
        <v>44719.0</v>
      </c>
      <c r="D60" s="17">
        <v>2.0</v>
      </c>
      <c r="E60" s="3" t="str">
        <f t="shared" si="1"/>
        <v>JIGAWA_KIRI KASAMA</v>
      </c>
    </row>
    <row r="61">
      <c r="A61" s="16" t="s">
        <v>633</v>
      </c>
      <c r="B61" s="16" t="s">
        <v>703</v>
      </c>
      <c r="C61" s="17">
        <v>48929.0</v>
      </c>
      <c r="D61" s="17">
        <v>2.0</v>
      </c>
      <c r="E61" s="3" t="str">
        <f t="shared" si="1"/>
        <v>JIGAWA_KIYAWA</v>
      </c>
    </row>
    <row r="62">
      <c r="A62" s="16" t="s">
        <v>633</v>
      </c>
      <c r="B62" s="16" t="s">
        <v>704</v>
      </c>
      <c r="C62" s="17">
        <v>37226.0</v>
      </c>
      <c r="D62" s="17">
        <v>2.0</v>
      </c>
      <c r="E62" s="3" t="str">
        <f t="shared" si="1"/>
        <v>JIGAWA_MAIGATARI</v>
      </c>
    </row>
    <row r="63">
      <c r="A63" s="16" t="s">
        <v>633</v>
      </c>
      <c r="B63" s="16" t="s">
        <v>705</v>
      </c>
      <c r="C63" s="17">
        <v>39468.0</v>
      </c>
      <c r="D63" s="17">
        <v>2.0</v>
      </c>
      <c r="E63" s="3" t="str">
        <f t="shared" si="1"/>
        <v>JIGAWA_MALAM MADORI</v>
      </c>
    </row>
    <row r="64">
      <c r="A64" s="16" t="s">
        <v>633</v>
      </c>
      <c r="B64" s="16" t="s">
        <v>706</v>
      </c>
      <c r="C64" s="17">
        <v>35288.0</v>
      </c>
      <c r="D64" s="17">
        <v>2.0</v>
      </c>
      <c r="E64" s="3" t="str">
        <f t="shared" si="1"/>
        <v>JIGAWA_MIGA</v>
      </c>
    </row>
    <row r="65">
      <c r="A65" s="16" t="s">
        <v>633</v>
      </c>
      <c r="B65" s="16" t="s">
        <v>707</v>
      </c>
      <c r="C65" s="17">
        <v>44136.0</v>
      </c>
      <c r="D65" s="17">
        <v>2.0</v>
      </c>
      <c r="E65" s="3" t="str">
        <f t="shared" si="1"/>
        <v>JIGAWA_RINGIM</v>
      </c>
    </row>
    <row r="66">
      <c r="A66" s="16" t="s">
        <v>633</v>
      </c>
      <c r="B66" s="16" t="s">
        <v>708</v>
      </c>
      <c r="C66" s="17">
        <v>21901.0</v>
      </c>
      <c r="D66" s="17">
        <v>2.0</v>
      </c>
      <c r="E66" s="3" t="str">
        <f t="shared" si="1"/>
        <v>JIGAWA_RONI</v>
      </c>
    </row>
    <row r="67">
      <c r="A67" s="16" t="s">
        <v>633</v>
      </c>
      <c r="B67" s="16" t="s">
        <v>709</v>
      </c>
      <c r="C67" s="17">
        <v>38741.0</v>
      </c>
      <c r="D67" s="17">
        <v>2.0</v>
      </c>
      <c r="E67" s="3" t="str">
        <f t="shared" si="1"/>
        <v>JIGAWA_SULE TANKARKAR</v>
      </c>
    </row>
    <row r="68">
      <c r="A68" s="16" t="s">
        <v>633</v>
      </c>
      <c r="B68" s="16" t="s">
        <v>710</v>
      </c>
      <c r="C68" s="17">
        <v>33051.0</v>
      </c>
      <c r="D68" s="17">
        <v>2.0</v>
      </c>
      <c r="E68" s="3" t="str">
        <f t="shared" si="1"/>
        <v>JIGAWA_TAURA</v>
      </c>
    </row>
    <row r="69">
      <c r="A69" s="16" t="s">
        <v>633</v>
      </c>
      <c r="B69" s="16" t="s">
        <v>711</v>
      </c>
      <c r="C69" s="17">
        <v>22177.0</v>
      </c>
      <c r="D69" s="17">
        <v>2.0</v>
      </c>
      <c r="E69" s="3" t="str">
        <f t="shared" si="1"/>
        <v>JIGAWA_YANKWASHI</v>
      </c>
    </row>
    <row r="70">
      <c r="A70" s="16" t="s">
        <v>544</v>
      </c>
      <c r="B70" s="16" t="s">
        <v>712</v>
      </c>
      <c r="C70" s="17">
        <v>76753.0</v>
      </c>
      <c r="D70" s="17">
        <v>2.0</v>
      </c>
      <c r="E70" s="3" t="str">
        <f t="shared" si="1"/>
        <v>KADUNA_BIRNIN GWARI</v>
      </c>
    </row>
    <row r="71">
      <c r="A71" s="16" t="s">
        <v>544</v>
      </c>
      <c r="B71" s="16" t="s">
        <v>713</v>
      </c>
      <c r="C71" s="17">
        <v>157008.0</v>
      </c>
      <c r="D71" s="17">
        <v>2.0</v>
      </c>
      <c r="E71" s="3" t="str">
        <f t="shared" si="1"/>
        <v>KADUNA_CHIKUN</v>
      </c>
    </row>
    <row r="72">
      <c r="A72" s="16" t="s">
        <v>544</v>
      </c>
      <c r="B72" s="16" t="s">
        <v>714</v>
      </c>
      <c r="C72" s="17">
        <v>123038.0</v>
      </c>
      <c r="D72" s="17">
        <v>2.0</v>
      </c>
      <c r="E72" s="3" t="str">
        <f t="shared" si="1"/>
        <v>KADUNA_GIWA</v>
      </c>
    </row>
    <row r="73">
      <c r="A73" s="16" t="s">
        <v>544</v>
      </c>
      <c r="B73" s="16" t="s">
        <v>715</v>
      </c>
      <c r="C73" s="17">
        <v>176406.0</v>
      </c>
      <c r="D73" s="17">
        <v>2.0</v>
      </c>
      <c r="E73" s="3" t="str">
        <f t="shared" si="1"/>
        <v>KADUNA_IGABI</v>
      </c>
    </row>
    <row r="74">
      <c r="A74" s="16" t="s">
        <v>544</v>
      </c>
      <c r="B74" s="16" t="s">
        <v>716</v>
      </c>
      <c r="C74" s="17">
        <v>94525.0</v>
      </c>
      <c r="D74" s="17">
        <v>2.0</v>
      </c>
      <c r="E74" s="3" t="str">
        <f t="shared" si="1"/>
        <v>KADUNA_IKARA</v>
      </c>
    </row>
    <row r="75">
      <c r="A75" s="16" t="s">
        <v>544</v>
      </c>
      <c r="B75" s="16" t="s">
        <v>717</v>
      </c>
      <c r="C75" s="17">
        <v>74644.0</v>
      </c>
      <c r="D75" s="17">
        <v>2.0</v>
      </c>
      <c r="E75" s="3" t="str">
        <f t="shared" si="1"/>
        <v>KADUNA_JABA</v>
      </c>
    </row>
    <row r="76">
      <c r="A76" s="16" t="s">
        <v>544</v>
      </c>
      <c r="B76" s="16" t="s">
        <v>718</v>
      </c>
      <c r="C76" s="17">
        <v>103776.0</v>
      </c>
      <c r="D76" s="17">
        <v>2.0</v>
      </c>
      <c r="E76" s="3" t="str">
        <f t="shared" si="1"/>
        <v>KADUNA_JEMAA</v>
      </c>
    </row>
    <row r="77">
      <c r="A77" s="16" t="s">
        <v>544</v>
      </c>
      <c r="B77" s="16" t="s">
        <v>719</v>
      </c>
      <c r="C77" s="17">
        <v>100797.0</v>
      </c>
      <c r="D77" s="17">
        <v>2.0</v>
      </c>
      <c r="E77" s="3" t="str">
        <f t="shared" si="1"/>
        <v>KADUNA_KACHIA</v>
      </c>
    </row>
    <row r="78">
      <c r="A78" s="16" t="s">
        <v>544</v>
      </c>
      <c r="B78" s="16" t="s">
        <v>720</v>
      </c>
      <c r="C78" s="17">
        <v>143623.0</v>
      </c>
      <c r="D78" s="17">
        <v>2.0</v>
      </c>
      <c r="E78" s="3" t="str">
        <f t="shared" si="1"/>
        <v>KADUNA_KADUNA NORTH</v>
      </c>
    </row>
    <row r="79">
      <c r="A79" s="16" t="s">
        <v>544</v>
      </c>
      <c r="B79" s="16" t="s">
        <v>721</v>
      </c>
      <c r="C79" s="17">
        <v>125688.0</v>
      </c>
      <c r="D79" s="17">
        <v>2.0</v>
      </c>
      <c r="E79" s="3" t="str">
        <f t="shared" si="1"/>
        <v>KADUNA_KADUNA SOUTH</v>
      </c>
    </row>
    <row r="80">
      <c r="A80" s="16" t="s">
        <v>544</v>
      </c>
      <c r="B80" s="16" t="s">
        <v>722</v>
      </c>
      <c r="C80" s="17">
        <v>81613.0</v>
      </c>
      <c r="D80" s="17">
        <v>2.0</v>
      </c>
      <c r="E80" s="3" t="str">
        <f t="shared" si="1"/>
        <v>KADUNA_KAGARKO</v>
      </c>
    </row>
    <row r="81">
      <c r="A81" s="16" t="s">
        <v>544</v>
      </c>
      <c r="B81" s="16" t="s">
        <v>723</v>
      </c>
      <c r="C81" s="17">
        <v>44886.0</v>
      </c>
      <c r="D81" s="17">
        <v>2.0</v>
      </c>
      <c r="E81" s="3" t="str">
        <f t="shared" si="1"/>
        <v>KADUNA_KAJURU</v>
      </c>
    </row>
    <row r="82">
      <c r="A82" s="16" t="s">
        <v>544</v>
      </c>
      <c r="B82" s="16" t="s">
        <v>724</v>
      </c>
      <c r="C82" s="17">
        <v>78465.0</v>
      </c>
      <c r="D82" s="17">
        <v>2.0</v>
      </c>
      <c r="E82" s="3" t="str">
        <f t="shared" si="1"/>
        <v>KADUNA_KAURA</v>
      </c>
    </row>
    <row r="83">
      <c r="A83" s="16" t="s">
        <v>544</v>
      </c>
      <c r="B83" s="16" t="s">
        <v>725</v>
      </c>
      <c r="C83" s="17">
        <v>83303.0</v>
      </c>
      <c r="D83" s="17">
        <v>2.0</v>
      </c>
      <c r="E83" s="3" t="str">
        <f t="shared" si="1"/>
        <v>KADUNA_KAURU</v>
      </c>
    </row>
    <row r="84">
      <c r="A84" s="16" t="s">
        <v>544</v>
      </c>
      <c r="B84" s="16" t="s">
        <v>726</v>
      </c>
      <c r="C84" s="17">
        <v>172769.0</v>
      </c>
      <c r="D84" s="17">
        <v>2.0</v>
      </c>
      <c r="E84" s="3" t="str">
        <f t="shared" si="1"/>
        <v>KADUNA_KUBAU</v>
      </c>
    </row>
    <row r="85">
      <c r="A85" s="16" t="s">
        <v>544</v>
      </c>
      <c r="B85" s="16" t="s">
        <v>727</v>
      </c>
      <c r="C85" s="17">
        <v>72948.0</v>
      </c>
      <c r="D85" s="17">
        <v>2.0</v>
      </c>
      <c r="E85" s="3" t="str">
        <f t="shared" si="1"/>
        <v>KADUNA_KUDAN</v>
      </c>
    </row>
    <row r="86">
      <c r="A86" s="16" t="s">
        <v>544</v>
      </c>
      <c r="B86" s="16" t="s">
        <v>728</v>
      </c>
      <c r="C86" s="17">
        <v>151431.0</v>
      </c>
      <c r="D86" s="17">
        <v>2.0</v>
      </c>
      <c r="E86" s="3" t="str">
        <f t="shared" si="1"/>
        <v>KADUNA_LERE</v>
      </c>
    </row>
    <row r="87">
      <c r="A87" s="16" t="s">
        <v>544</v>
      </c>
      <c r="B87" s="16" t="s">
        <v>729</v>
      </c>
      <c r="C87" s="17">
        <v>77781.0</v>
      </c>
      <c r="D87" s="17">
        <v>2.0</v>
      </c>
      <c r="E87" s="3" t="str">
        <f t="shared" si="1"/>
        <v>KADUNA_MAKARFI</v>
      </c>
    </row>
    <row r="88">
      <c r="A88" s="16" t="s">
        <v>544</v>
      </c>
      <c r="B88" s="16" t="s">
        <v>730</v>
      </c>
      <c r="C88" s="17">
        <v>120502.0</v>
      </c>
      <c r="D88" s="17">
        <v>2.0</v>
      </c>
      <c r="E88" s="3" t="str">
        <f t="shared" si="1"/>
        <v>KADUNA_SABON GARI</v>
      </c>
    </row>
    <row r="89">
      <c r="A89" s="16" t="s">
        <v>544</v>
      </c>
      <c r="B89" s="16" t="s">
        <v>731</v>
      </c>
      <c r="C89" s="17">
        <v>53870.0</v>
      </c>
      <c r="D89" s="17">
        <v>2.0</v>
      </c>
      <c r="E89" s="3" t="str">
        <f t="shared" si="1"/>
        <v>KADUNA_SANGA</v>
      </c>
    </row>
    <row r="90">
      <c r="A90" s="16" t="s">
        <v>544</v>
      </c>
      <c r="B90" s="16" t="s">
        <v>732</v>
      </c>
      <c r="C90" s="17">
        <v>195808.0</v>
      </c>
      <c r="D90" s="17">
        <v>2.0</v>
      </c>
      <c r="E90" s="3" t="str">
        <f t="shared" si="1"/>
        <v>KADUNA_SOBA</v>
      </c>
    </row>
    <row r="91">
      <c r="A91" s="16" t="s">
        <v>544</v>
      </c>
      <c r="B91" s="16" t="s">
        <v>733</v>
      </c>
      <c r="C91" s="17">
        <v>118746.0</v>
      </c>
      <c r="D91" s="17">
        <v>2.0</v>
      </c>
      <c r="E91" s="3" t="str">
        <f t="shared" si="1"/>
        <v>KADUNA_ZANGON KATAF</v>
      </c>
    </row>
    <row r="92">
      <c r="A92" s="16" t="s">
        <v>544</v>
      </c>
      <c r="B92" s="16" t="s">
        <v>734</v>
      </c>
      <c r="C92" s="17">
        <v>265871.0</v>
      </c>
      <c r="D92" s="17">
        <v>2.0</v>
      </c>
      <c r="E92" s="3" t="str">
        <f t="shared" si="1"/>
        <v>KADUNA_ZARIA</v>
      </c>
    </row>
    <row r="93">
      <c r="A93" s="16" t="s">
        <v>582</v>
      </c>
      <c r="B93" s="16" t="s">
        <v>583</v>
      </c>
      <c r="C93" s="17">
        <v>68258.0</v>
      </c>
      <c r="D93" s="17">
        <v>2.0</v>
      </c>
      <c r="E93" s="3" t="str">
        <f t="shared" si="1"/>
        <v>KANO_AJINGI</v>
      </c>
    </row>
    <row r="94">
      <c r="A94" s="16" t="s">
        <v>582</v>
      </c>
      <c r="B94" s="16" t="s">
        <v>584</v>
      </c>
      <c r="C94" s="17">
        <v>55205.0</v>
      </c>
      <c r="D94" s="17">
        <v>2.0</v>
      </c>
      <c r="E94" s="3" t="str">
        <f t="shared" si="1"/>
        <v>KANO_ALBASU</v>
      </c>
    </row>
    <row r="95">
      <c r="A95" s="16" t="s">
        <v>582</v>
      </c>
      <c r="B95" s="16" t="s">
        <v>585</v>
      </c>
      <c r="C95" s="17">
        <v>0.0</v>
      </c>
      <c r="D95" s="17">
        <v>2.0</v>
      </c>
      <c r="E95" s="3" t="str">
        <f t="shared" si="1"/>
        <v>KANO_BAGWAI</v>
      </c>
    </row>
    <row r="96">
      <c r="A96" s="16" t="s">
        <v>582</v>
      </c>
      <c r="B96" s="16" t="s">
        <v>586</v>
      </c>
      <c r="C96" s="17">
        <v>95124.0</v>
      </c>
      <c r="D96" s="17">
        <v>2.0</v>
      </c>
      <c r="E96" s="3" t="str">
        <f t="shared" si="1"/>
        <v>KANO_BEBEJI</v>
      </c>
    </row>
    <row r="97">
      <c r="A97" s="16" t="s">
        <v>582</v>
      </c>
      <c r="B97" s="16" t="s">
        <v>587</v>
      </c>
      <c r="C97" s="17">
        <v>103793.0</v>
      </c>
      <c r="D97" s="17">
        <v>2.0</v>
      </c>
      <c r="E97" s="3" t="str">
        <f t="shared" si="1"/>
        <v>KANO_BICHI</v>
      </c>
    </row>
    <row r="98">
      <c r="A98" s="16" t="s">
        <v>582</v>
      </c>
      <c r="B98" s="16" t="s">
        <v>588</v>
      </c>
      <c r="C98" s="17">
        <v>78405.0</v>
      </c>
      <c r="D98" s="17">
        <v>2.0</v>
      </c>
      <c r="E98" s="3" t="str">
        <f t="shared" si="1"/>
        <v>KANO_BUNKURE</v>
      </c>
    </row>
    <row r="99">
      <c r="A99" s="16" t="s">
        <v>582</v>
      </c>
      <c r="B99" s="16" t="s">
        <v>589</v>
      </c>
      <c r="C99" s="17">
        <v>111612.0</v>
      </c>
      <c r="D99" s="17">
        <v>2.0</v>
      </c>
      <c r="E99" s="3" t="str">
        <f t="shared" si="1"/>
        <v>KANO_DALA</v>
      </c>
    </row>
    <row r="100">
      <c r="A100" s="16" t="s">
        <v>582</v>
      </c>
      <c r="B100" s="16" t="s">
        <v>590</v>
      </c>
      <c r="C100" s="17">
        <v>0.0</v>
      </c>
      <c r="D100" s="17">
        <v>2.0</v>
      </c>
      <c r="E100" s="3" t="str">
        <f t="shared" si="1"/>
        <v>KANO_DAMBATTA</v>
      </c>
    </row>
    <row r="101">
      <c r="A101" s="16" t="s">
        <v>582</v>
      </c>
      <c r="B101" s="16" t="s">
        <v>591</v>
      </c>
      <c r="C101" s="17">
        <v>0.0</v>
      </c>
      <c r="D101" s="17">
        <v>2.0</v>
      </c>
      <c r="E101" s="3" t="str">
        <f t="shared" si="1"/>
        <v>KANO_DAWAKIN KUDU</v>
      </c>
    </row>
    <row r="102">
      <c r="A102" s="16" t="s">
        <v>582</v>
      </c>
      <c r="B102" s="16" t="s">
        <v>592</v>
      </c>
      <c r="C102" s="17">
        <v>90681.0</v>
      </c>
      <c r="D102" s="17">
        <v>2.0</v>
      </c>
      <c r="E102" s="3" t="str">
        <f t="shared" si="1"/>
        <v>KANO_DAWAKIN TOFA</v>
      </c>
    </row>
    <row r="103">
      <c r="A103" s="16" t="s">
        <v>582</v>
      </c>
      <c r="B103" s="16" t="s">
        <v>594</v>
      </c>
      <c r="C103" s="17">
        <v>0.0</v>
      </c>
      <c r="D103" s="17">
        <v>2.0</v>
      </c>
      <c r="E103" s="3" t="str">
        <f t="shared" si="1"/>
        <v>KANO_DOGUNWA</v>
      </c>
    </row>
    <row r="104">
      <c r="A104" s="16" t="s">
        <v>582</v>
      </c>
      <c r="B104" s="16" t="s">
        <v>595</v>
      </c>
      <c r="C104" s="17">
        <v>0.0</v>
      </c>
      <c r="D104" s="17">
        <v>2.0</v>
      </c>
      <c r="E104" s="3" t="str">
        <f t="shared" si="1"/>
        <v>KANO_FAGGE</v>
      </c>
    </row>
    <row r="105">
      <c r="A105" s="16" t="s">
        <v>582</v>
      </c>
      <c r="B105" s="16" t="s">
        <v>596</v>
      </c>
      <c r="C105" s="17">
        <v>67212.0</v>
      </c>
      <c r="D105" s="17">
        <v>2.0</v>
      </c>
      <c r="E105" s="3" t="str">
        <f t="shared" si="1"/>
        <v>KANO_GABASAWA</v>
      </c>
    </row>
    <row r="106">
      <c r="A106" s="16" t="s">
        <v>582</v>
      </c>
      <c r="B106" s="16" t="s">
        <v>597</v>
      </c>
      <c r="C106" s="17">
        <v>0.0</v>
      </c>
      <c r="D106" s="17">
        <v>2.0</v>
      </c>
      <c r="E106" s="3" t="str">
        <f t="shared" si="1"/>
        <v>KANO_GARKO</v>
      </c>
    </row>
    <row r="107">
      <c r="A107" s="16" t="s">
        <v>582</v>
      </c>
      <c r="B107" s="16" t="s">
        <v>599</v>
      </c>
      <c r="C107" s="17">
        <v>48513.0</v>
      </c>
      <c r="D107" s="17">
        <v>2.0</v>
      </c>
      <c r="E107" s="3" t="str">
        <f t="shared" si="1"/>
        <v>KANO_GARUN MALAM</v>
      </c>
    </row>
    <row r="108">
      <c r="A108" s="16" t="s">
        <v>582</v>
      </c>
      <c r="B108" s="16" t="s">
        <v>600</v>
      </c>
      <c r="C108" s="17">
        <v>58836.0</v>
      </c>
      <c r="D108" s="17">
        <v>2.0</v>
      </c>
      <c r="E108" s="3" t="str">
        <f t="shared" si="1"/>
        <v>KANO_GAYA</v>
      </c>
    </row>
    <row r="109">
      <c r="A109" s="16" t="s">
        <v>582</v>
      </c>
      <c r="B109" s="16" t="s">
        <v>601</v>
      </c>
      <c r="C109" s="17">
        <v>0.0</v>
      </c>
      <c r="D109" s="17">
        <v>2.0</v>
      </c>
      <c r="E109" s="3" t="str">
        <f t="shared" si="1"/>
        <v>KANO_GEZAWA</v>
      </c>
    </row>
    <row r="110">
      <c r="A110" s="16" t="s">
        <v>582</v>
      </c>
      <c r="B110" s="16" t="s">
        <v>602</v>
      </c>
      <c r="C110" s="17">
        <v>0.0</v>
      </c>
      <c r="D110" s="17">
        <v>2.0</v>
      </c>
      <c r="E110" s="3" t="str">
        <f t="shared" si="1"/>
        <v>KANO_GWALE</v>
      </c>
    </row>
    <row r="111">
      <c r="A111" s="16" t="s">
        <v>582</v>
      </c>
      <c r="B111" s="16" t="s">
        <v>603</v>
      </c>
      <c r="C111" s="17">
        <v>0.0</v>
      </c>
      <c r="D111" s="17">
        <v>2.0</v>
      </c>
      <c r="E111" s="3" t="str">
        <f t="shared" si="1"/>
        <v>KANO_GWARZO</v>
      </c>
    </row>
    <row r="112">
      <c r="A112" s="16" t="s">
        <v>582</v>
      </c>
      <c r="B112" s="16" t="s">
        <v>604</v>
      </c>
      <c r="C112" s="17">
        <v>64617.0</v>
      </c>
      <c r="D112" s="17">
        <v>2.0</v>
      </c>
      <c r="E112" s="3" t="str">
        <f t="shared" si="1"/>
        <v>KANO_KABO</v>
      </c>
    </row>
    <row r="113">
      <c r="A113" s="16" t="s">
        <v>582</v>
      </c>
      <c r="B113" s="16" t="s">
        <v>605</v>
      </c>
      <c r="C113" s="17">
        <v>96261.0</v>
      </c>
      <c r="D113" s="17">
        <v>2.0</v>
      </c>
      <c r="E113" s="3" t="str">
        <f t="shared" si="1"/>
        <v>KANO_KANO MUNICIPAL</v>
      </c>
    </row>
    <row r="114">
      <c r="A114" s="16" t="s">
        <v>582</v>
      </c>
      <c r="B114" s="16" t="s">
        <v>606</v>
      </c>
      <c r="C114" s="17">
        <v>65479.0</v>
      </c>
      <c r="D114" s="17">
        <v>2.0</v>
      </c>
      <c r="E114" s="3" t="str">
        <f t="shared" si="1"/>
        <v>KANO_KARAYE</v>
      </c>
    </row>
    <row r="115">
      <c r="A115" s="16" t="s">
        <v>582</v>
      </c>
      <c r="B115" s="16" t="s">
        <v>607</v>
      </c>
      <c r="C115" s="17">
        <v>0.0</v>
      </c>
      <c r="D115" s="17">
        <v>2.0</v>
      </c>
      <c r="E115" s="3" t="str">
        <f t="shared" si="1"/>
        <v>KANO_KIBIYA</v>
      </c>
    </row>
    <row r="116">
      <c r="A116" s="16" t="s">
        <v>582</v>
      </c>
      <c r="B116" s="16" t="s">
        <v>608</v>
      </c>
      <c r="C116" s="17">
        <v>79839.0</v>
      </c>
      <c r="D116" s="17">
        <v>2.0</v>
      </c>
      <c r="E116" s="3" t="str">
        <f t="shared" si="1"/>
        <v>KANO_KIRU</v>
      </c>
    </row>
    <row r="117">
      <c r="A117" s="16" t="s">
        <v>582</v>
      </c>
      <c r="B117" s="16" t="s">
        <v>609</v>
      </c>
      <c r="C117" s="17">
        <v>0.0</v>
      </c>
      <c r="D117" s="17">
        <v>2.0</v>
      </c>
      <c r="E117" s="3" t="str">
        <f t="shared" si="1"/>
        <v>KANO_KUMBOTSO</v>
      </c>
    </row>
    <row r="118">
      <c r="A118" s="16" t="s">
        <v>582</v>
      </c>
      <c r="B118" s="16" t="s">
        <v>610</v>
      </c>
      <c r="C118" s="17">
        <v>42923.0</v>
      </c>
      <c r="D118" s="17">
        <v>2.0</v>
      </c>
      <c r="E118" s="3" t="str">
        <f t="shared" si="1"/>
        <v>KANO_KUNCHI</v>
      </c>
    </row>
    <row r="119">
      <c r="A119" s="16" t="s">
        <v>582</v>
      </c>
      <c r="B119" s="16" t="s">
        <v>611</v>
      </c>
      <c r="C119" s="17">
        <v>38641.0</v>
      </c>
      <c r="D119" s="17">
        <v>2.0</v>
      </c>
      <c r="E119" s="3" t="str">
        <f t="shared" si="1"/>
        <v>KANO_KURA</v>
      </c>
    </row>
    <row r="120">
      <c r="A120" s="16" t="s">
        <v>582</v>
      </c>
      <c r="B120" s="16" t="s">
        <v>612</v>
      </c>
      <c r="C120" s="17">
        <v>63584.0</v>
      </c>
      <c r="D120" s="17">
        <v>2.0</v>
      </c>
      <c r="E120" s="3" t="str">
        <f t="shared" si="1"/>
        <v>KANO_MADOBI</v>
      </c>
    </row>
    <row r="121">
      <c r="A121" s="16" t="s">
        <v>582</v>
      </c>
      <c r="B121" s="16" t="s">
        <v>613</v>
      </c>
      <c r="C121" s="17">
        <v>0.0</v>
      </c>
      <c r="D121" s="17">
        <v>2.0</v>
      </c>
      <c r="E121" s="3" t="str">
        <f t="shared" si="1"/>
        <v>KANO_MAKODA</v>
      </c>
    </row>
    <row r="122">
      <c r="A122" s="16" t="s">
        <v>582</v>
      </c>
      <c r="B122" s="16" t="s">
        <v>614</v>
      </c>
      <c r="C122" s="17">
        <v>84609.0</v>
      </c>
      <c r="D122" s="17">
        <v>2.0</v>
      </c>
      <c r="E122" s="3" t="str">
        <f t="shared" si="1"/>
        <v>KANO_MINJIBIR</v>
      </c>
    </row>
    <row r="123">
      <c r="A123" s="16" t="s">
        <v>582</v>
      </c>
      <c r="B123" s="16" t="s">
        <v>615</v>
      </c>
      <c r="C123" s="17">
        <v>0.0</v>
      </c>
      <c r="D123" s="17">
        <v>2.0</v>
      </c>
      <c r="E123" s="3" t="str">
        <f t="shared" si="1"/>
        <v>KANO_NASSARAWA</v>
      </c>
    </row>
    <row r="124">
      <c r="A124" s="16" t="s">
        <v>582</v>
      </c>
      <c r="B124" s="16" t="s">
        <v>616</v>
      </c>
      <c r="C124" s="17">
        <v>0.0</v>
      </c>
      <c r="D124" s="17">
        <v>2.0</v>
      </c>
      <c r="E124" s="3" t="str">
        <f t="shared" si="1"/>
        <v>KANO_RANO</v>
      </c>
    </row>
    <row r="125">
      <c r="A125" s="16" t="s">
        <v>582</v>
      </c>
      <c r="B125" s="16" t="s">
        <v>617</v>
      </c>
      <c r="C125" s="17">
        <v>52595.0</v>
      </c>
      <c r="D125" s="17">
        <v>2.0</v>
      </c>
      <c r="E125" s="3" t="str">
        <f t="shared" si="1"/>
        <v>KANO_RIMIN GADO</v>
      </c>
    </row>
    <row r="126">
      <c r="A126" s="16" t="s">
        <v>582</v>
      </c>
      <c r="B126" s="16" t="s">
        <v>618</v>
      </c>
      <c r="C126" s="17">
        <v>106846.0</v>
      </c>
      <c r="D126" s="17">
        <v>2.0</v>
      </c>
      <c r="E126" s="3" t="str">
        <f t="shared" si="1"/>
        <v>KANO_ROGO</v>
      </c>
    </row>
    <row r="127">
      <c r="A127" s="16" t="s">
        <v>582</v>
      </c>
      <c r="B127" s="16" t="s">
        <v>619</v>
      </c>
      <c r="C127" s="17">
        <v>61580.0</v>
      </c>
      <c r="D127" s="17">
        <v>2.0</v>
      </c>
      <c r="E127" s="3" t="str">
        <f t="shared" si="1"/>
        <v>KANO_SHANONO</v>
      </c>
    </row>
    <row r="128">
      <c r="A128" s="16" t="s">
        <v>582</v>
      </c>
      <c r="B128" s="16" t="s">
        <v>620</v>
      </c>
      <c r="C128" s="17">
        <v>0.0</v>
      </c>
      <c r="D128" s="17">
        <v>2.0</v>
      </c>
      <c r="E128" s="3" t="str">
        <f t="shared" si="1"/>
        <v>KANO_SUMAILA</v>
      </c>
    </row>
    <row r="129">
      <c r="A129" s="16" t="s">
        <v>582</v>
      </c>
      <c r="B129" s="16" t="s">
        <v>621</v>
      </c>
      <c r="C129" s="17">
        <v>82326.0</v>
      </c>
      <c r="D129" s="17">
        <v>2.0</v>
      </c>
      <c r="E129" s="3" t="str">
        <f t="shared" si="1"/>
        <v>KANO_TAKAI</v>
      </c>
    </row>
    <row r="130">
      <c r="A130" s="16" t="s">
        <v>582</v>
      </c>
      <c r="B130" s="16" t="s">
        <v>622</v>
      </c>
      <c r="C130" s="17">
        <v>75633.0</v>
      </c>
      <c r="D130" s="17">
        <v>2.0</v>
      </c>
      <c r="E130" s="3" t="str">
        <f t="shared" si="1"/>
        <v>KANO_TARAUNI</v>
      </c>
    </row>
    <row r="131">
      <c r="A131" s="16" t="s">
        <v>582</v>
      </c>
      <c r="B131" s="16" t="s">
        <v>623</v>
      </c>
      <c r="C131" s="17">
        <v>42570.0</v>
      </c>
      <c r="D131" s="17">
        <v>2.0</v>
      </c>
      <c r="E131" s="3" t="str">
        <f t="shared" si="1"/>
        <v>KANO_TOFA</v>
      </c>
    </row>
    <row r="132">
      <c r="A132" s="16" t="s">
        <v>582</v>
      </c>
      <c r="B132" s="16" t="s">
        <v>624</v>
      </c>
      <c r="C132" s="17">
        <v>0.0</v>
      </c>
      <c r="D132" s="17">
        <v>2.0</v>
      </c>
      <c r="E132" s="3" t="str">
        <f t="shared" si="1"/>
        <v>KANO_TSANYAWA</v>
      </c>
    </row>
    <row r="133">
      <c r="A133" s="16" t="s">
        <v>582</v>
      </c>
      <c r="B133" s="16" t="s">
        <v>625</v>
      </c>
      <c r="C133" s="17">
        <v>87113.0</v>
      </c>
      <c r="D133" s="17">
        <v>2.0</v>
      </c>
      <c r="E133" s="3" t="str">
        <f t="shared" si="1"/>
        <v>KANO_TUDUN WADA</v>
      </c>
    </row>
    <row r="134">
      <c r="A134" s="16" t="s">
        <v>582</v>
      </c>
      <c r="B134" s="16" t="s">
        <v>626</v>
      </c>
      <c r="C134" s="17">
        <v>252480.0</v>
      </c>
      <c r="D134" s="17">
        <v>2.0</v>
      </c>
      <c r="E134" s="3" t="str">
        <f t="shared" si="1"/>
        <v>KANO_UNGOGO</v>
      </c>
    </row>
    <row r="135">
      <c r="A135" s="16" t="s">
        <v>582</v>
      </c>
      <c r="B135" s="16" t="s">
        <v>627</v>
      </c>
      <c r="C135" s="17">
        <v>56074.0</v>
      </c>
      <c r="D135" s="17">
        <v>2.0</v>
      </c>
      <c r="E135" s="3" t="str">
        <f t="shared" si="1"/>
        <v>KANO_WARAWA</v>
      </c>
    </row>
    <row r="136">
      <c r="A136" s="16" t="s">
        <v>582</v>
      </c>
      <c r="B136" s="16" t="s">
        <v>628</v>
      </c>
      <c r="C136" s="17">
        <v>65596.0</v>
      </c>
      <c r="D136" s="17">
        <v>2.0</v>
      </c>
      <c r="E136" s="3" t="str">
        <f t="shared" si="1"/>
        <v>KANO_WUDIL</v>
      </c>
    </row>
    <row r="137">
      <c r="A137" s="16" t="s">
        <v>636</v>
      </c>
      <c r="B137" s="16" t="s">
        <v>735</v>
      </c>
      <c r="C137" s="17">
        <v>71784.0</v>
      </c>
      <c r="D137" s="17">
        <v>2.0</v>
      </c>
      <c r="E137" s="3" t="str">
        <f t="shared" si="1"/>
        <v>KATSINA_BAKORI</v>
      </c>
    </row>
    <row r="138">
      <c r="A138" s="16" t="s">
        <v>636</v>
      </c>
      <c r="B138" s="16" t="s">
        <v>736</v>
      </c>
      <c r="C138" s="17">
        <v>40388.0</v>
      </c>
      <c r="D138" s="17">
        <v>2.0</v>
      </c>
      <c r="E138" s="3" t="str">
        <f t="shared" si="1"/>
        <v>KATSINA_BATAGARAWA</v>
      </c>
    </row>
    <row r="139">
      <c r="A139" s="16" t="s">
        <v>636</v>
      </c>
      <c r="B139" s="16" t="s">
        <v>737</v>
      </c>
      <c r="C139" s="17">
        <v>50957.0</v>
      </c>
      <c r="D139" s="17">
        <v>2.0</v>
      </c>
      <c r="E139" s="3" t="str">
        <f t="shared" si="1"/>
        <v>KATSINA_BATSARI</v>
      </c>
    </row>
    <row r="140">
      <c r="A140" s="16" t="s">
        <v>636</v>
      </c>
      <c r="B140" s="16" t="s">
        <v>738</v>
      </c>
      <c r="C140" s="17">
        <v>65008.0</v>
      </c>
      <c r="D140" s="17">
        <v>2.0</v>
      </c>
      <c r="E140" s="3" t="str">
        <f t="shared" si="1"/>
        <v>KATSINA_BAURE</v>
      </c>
    </row>
    <row r="141">
      <c r="A141" s="16" t="s">
        <v>636</v>
      </c>
      <c r="B141" s="16" t="s">
        <v>739</v>
      </c>
      <c r="C141" s="17">
        <v>42937.0</v>
      </c>
      <c r="D141" s="17">
        <v>2.0</v>
      </c>
      <c r="E141" s="3" t="str">
        <f t="shared" si="1"/>
        <v>KATSINA_BINDAWA</v>
      </c>
    </row>
    <row r="142">
      <c r="A142" s="16" t="s">
        <v>636</v>
      </c>
      <c r="B142" s="16" t="s">
        <v>740</v>
      </c>
      <c r="C142" s="17">
        <v>62432.0</v>
      </c>
      <c r="D142" s="17">
        <v>2.0</v>
      </c>
      <c r="E142" s="3" t="str">
        <f t="shared" si="1"/>
        <v>KATSINA_CHARANCHI</v>
      </c>
    </row>
    <row r="143">
      <c r="A143" s="16" t="s">
        <v>636</v>
      </c>
      <c r="B143" s="16" t="s">
        <v>741</v>
      </c>
      <c r="C143" s="17">
        <v>62407.0</v>
      </c>
      <c r="D143" s="17">
        <v>2.0</v>
      </c>
      <c r="E143" s="3" t="str">
        <f t="shared" si="1"/>
        <v>KATSINA_DAN MUSA</v>
      </c>
    </row>
    <row r="144">
      <c r="A144" s="16" t="s">
        <v>636</v>
      </c>
      <c r="B144" s="16" t="s">
        <v>742</v>
      </c>
      <c r="C144" s="17">
        <v>61728.0</v>
      </c>
      <c r="D144" s="17">
        <v>2.0</v>
      </c>
      <c r="E144" s="3" t="str">
        <f t="shared" si="1"/>
        <v>KATSINA_DANDUME</v>
      </c>
    </row>
    <row r="145">
      <c r="A145" s="16" t="s">
        <v>636</v>
      </c>
      <c r="B145" s="16" t="s">
        <v>743</v>
      </c>
      <c r="C145" s="17">
        <v>46651.0</v>
      </c>
      <c r="D145" s="17">
        <v>2.0</v>
      </c>
      <c r="E145" s="3" t="str">
        <f t="shared" si="1"/>
        <v>KATSINA_DANJA</v>
      </c>
    </row>
    <row r="146">
      <c r="A146" s="16" t="s">
        <v>636</v>
      </c>
      <c r="B146" s="16" t="s">
        <v>744</v>
      </c>
      <c r="C146" s="17">
        <v>61746.0</v>
      </c>
      <c r="D146" s="17">
        <v>2.0</v>
      </c>
      <c r="E146" s="3" t="str">
        <f t="shared" si="1"/>
        <v>KATSINA_DAURA</v>
      </c>
    </row>
    <row r="147">
      <c r="A147" s="16" t="s">
        <v>636</v>
      </c>
      <c r="B147" s="16" t="s">
        <v>745</v>
      </c>
      <c r="C147" s="17">
        <v>33219.0</v>
      </c>
      <c r="D147" s="17">
        <v>2.0</v>
      </c>
      <c r="E147" s="3" t="str">
        <f t="shared" si="1"/>
        <v>KATSINA_DUTSI</v>
      </c>
    </row>
    <row r="148">
      <c r="A148" s="16" t="s">
        <v>636</v>
      </c>
      <c r="B148" s="16" t="s">
        <v>746</v>
      </c>
      <c r="C148" s="17">
        <v>50127.0</v>
      </c>
      <c r="D148" s="17">
        <v>2.0</v>
      </c>
      <c r="E148" s="3" t="str">
        <f t="shared" si="1"/>
        <v>KATSINA_DUTSIN MA</v>
      </c>
    </row>
    <row r="149">
      <c r="A149" s="16" t="s">
        <v>636</v>
      </c>
      <c r="B149" s="16" t="s">
        <v>747</v>
      </c>
      <c r="C149" s="17">
        <v>47970.0</v>
      </c>
      <c r="D149" s="17">
        <v>2.0</v>
      </c>
      <c r="E149" s="3" t="str">
        <f t="shared" si="1"/>
        <v>KATSINA_FASKARI</v>
      </c>
    </row>
    <row r="150">
      <c r="A150" s="16" t="s">
        <v>636</v>
      </c>
      <c r="B150" s="16" t="s">
        <v>748</v>
      </c>
      <c r="C150" s="17">
        <v>122239.0</v>
      </c>
      <c r="D150" s="17">
        <v>2.0</v>
      </c>
      <c r="E150" s="3" t="str">
        <f t="shared" si="1"/>
        <v>KATSINA_FUNTUA</v>
      </c>
    </row>
    <row r="151">
      <c r="A151" s="16" t="s">
        <v>636</v>
      </c>
      <c r="B151" s="16" t="s">
        <v>749</v>
      </c>
      <c r="C151" s="17">
        <v>63481.0</v>
      </c>
      <c r="D151" s="17">
        <v>2.0</v>
      </c>
      <c r="E151" s="3" t="str">
        <f t="shared" si="1"/>
        <v>KATSINA_INGAWA</v>
      </c>
    </row>
    <row r="152">
      <c r="A152" s="16" t="s">
        <v>636</v>
      </c>
      <c r="B152" s="16" t="s">
        <v>750</v>
      </c>
      <c r="C152" s="17">
        <v>0.0</v>
      </c>
      <c r="D152" s="17">
        <v>2.0</v>
      </c>
      <c r="E152" s="3" t="str">
        <f t="shared" si="1"/>
        <v>KATSINA_JIBIA</v>
      </c>
    </row>
    <row r="153">
      <c r="A153" s="16" t="s">
        <v>636</v>
      </c>
      <c r="B153" s="16" t="s">
        <v>751</v>
      </c>
      <c r="C153" s="17">
        <v>69117.0</v>
      </c>
      <c r="D153" s="17">
        <v>2.0</v>
      </c>
      <c r="E153" s="3" t="str">
        <f t="shared" si="1"/>
        <v>KATSINA_KAFUR</v>
      </c>
    </row>
    <row r="154">
      <c r="A154" s="16" t="s">
        <v>636</v>
      </c>
      <c r="B154" s="16" t="s">
        <v>752</v>
      </c>
      <c r="C154" s="17">
        <v>45309.0</v>
      </c>
      <c r="D154" s="17">
        <v>2.0</v>
      </c>
      <c r="E154" s="3" t="str">
        <f t="shared" si="1"/>
        <v>KATSINA_KAITA</v>
      </c>
    </row>
    <row r="155">
      <c r="A155" s="16" t="s">
        <v>636</v>
      </c>
      <c r="B155" s="16" t="s">
        <v>753</v>
      </c>
      <c r="C155" s="17">
        <v>55559.0</v>
      </c>
      <c r="D155" s="17">
        <v>2.0</v>
      </c>
      <c r="E155" s="3" t="str">
        <f t="shared" si="1"/>
        <v>KATSINA_KANKARA</v>
      </c>
    </row>
    <row r="156">
      <c r="A156" s="16" t="s">
        <v>636</v>
      </c>
      <c r="B156" s="16" t="s">
        <v>754</v>
      </c>
      <c r="C156" s="17">
        <v>58808.0</v>
      </c>
      <c r="D156" s="17">
        <v>2.0</v>
      </c>
      <c r="E156" s="3" t="str">
        <f t="shared" si="1"/>
        <v>KATSINA_KANKIA</v>
      </c>
    </row>
    <row r="157">
      <c r="A157" s="16" t="s">
        <v>636</v>
      </c>
      <c r="B157" s="16" t="s">
        <v>636</v>
      </c>
      <c r="C157" s="17">
        <v>82502.0</v>
      </c>
      <c r="D157" s="17">
        <v>2.0</v>
      </c>
      <c r="E157" s="3" t="str">
        <f t="shared" si="1"/>
        <v>KATSINA_KATSINA</v>
      </c>
    </row>
    <row r="158">
      <c r="A158" s="16" t="s">
        <v>636</v>
      </c>
      <c r="B158" s="16" t="s">
        <v>755</v>
      </c>
      <c r="C158" s="17">
        <v>48283.0</v>
      </c>
      <c r="D158" s="17">
        <v>2.0</v>
      </c>
      <c r="E158" s="3" t="str">
        <f t="shared" si="1"/>
        <v>KATSINA_KURFI</v>
      </c>
    </row>
    <row r="159">
      <c r="A159" s="16" t="s">
        <v>636</v>
      </c>
      <c r="B159" s="16" t="s">
        <v>756</v>
      </c>
      <c r="C159" s="17">
        <v>34704.0</v>
      </c>
      <c r="D159" s="17">
        <v>2.0</v>
      </c>
      <c r="E159" s="3" t="str">
        <f t="shared" si="1"/>
        <v>KATSINA_KUSADA</v>
      </c>
    </row>
    <row r="160">
      <c r="A160" s="16" t="s">
        <v>636</v>
      </c>
      <c r="B160" s="16" t="s">
        <v>757</v>
      </c>
      <c r="C160" s="17">
        <v>40564.0</v>
      </c>
      <c r="D160" s="17">
        <v>2.0</v>
      </c>
      <c r="E160" s="1" t="s">
        <v>352</v>
      </c>
    </row>
    <row r="161">
      <c r="A161" s="16" t="s">
        <v>636</v>
      </c>
      <c r="B161" s="16" t="s">
        <v>758</v>
      </c>
      <c r="C161" s="17">
        <v>66155.0</v>
      </c>
      <c r="D161" s="17">
        <v>2.0</v>
      </c>
      <c r="E161" s="3" t="str">
        <f t="shared" ref="E161:E242" si="2">CONCATENATE(UPPER(A161),"_",UPPER(B161))</f>
        <v>KATSINA_MALUMFASHI</v>
      </c>
    </row>
    <row r="162">
      <c r="A162" s="16" t="s">
        <v>636</v>
      </c>
      <c r="B162" s="16" t="s">
        <v>759</v>
      </c>
      <c r="C162" s="17">
        <v>74794.0</v>
      </c>
      <c r="D162" s="17">
        <v>2.0</v>
      </c>
      <c r="E162" s="3" t="str">
        <f t="shared" si="2"/>
        <v>KATSINA_MANI</v>
      </c>
    </row>
    <row r="163">
      <c r="A163" s="16" t="s">
        <v>636</v>
      </c>
      <c r="B163" s="16" t="s">
        <v>760</v>
      </c>
      <c r="C163" s="17">
        <v>0.0</v>
      </c>
      <c r="D163" s="17">
        <v>2.0</v>
      </c>
      <c r="E163" s="3" t="str">
        <f t="shared" si="2"/>
        <v>KATSINA_MASHI</v>
      </c>
    </row>
    <row r="164">
      <c r="A164" s="16" t="s">
        <v>636</v>
      </c>
      <c r="B164" s="16" t="s">
        <v>761</v>
      </c>
      <c r="C164" s="17">
        <v>22414.0</v>
      </c>
      <c r="D164" s="17">
        <v>2.0</v>
      </c>
      <c r="E164" s="3" t="str">
        <f t="shared" si="2"/>
        <v>KATSINA_MATAZU</v>
      </c>
    </row>
    <row r="165">
      <c r="A165" s="16" t="s">
        <v>636</v>
      </c>
      <c r="B165" s="16" t="s">
        <v>762</v>
      </c>
      <c r="C165" s="17">
        <v>44773.0</v>
      </c>
      <c r="D165" s="17">
        <v>2.0</v>
      </c>
      <c r="E165" s="3" t="str">
        <f t="shared" si="2"/>
        <v>KATSINA_MUSAWA</v>
      </c>
    </row>
    <row r="166">
      <c r="A166" s="16" t="s">
        <v>636</v>
      </c>
      <c r="B166" s="16" t="s">
        <v>763</v>
      </c>
      <c r="C166" s="17">
        <v>54359.0</v>
      </c>
      <c r="D166" s="17">
        <v>2.0</v>
      </c>
      <c r="E166" s="3" t="str">
        <f t="shared" si="2"/>
        <v>KATSINA_RIMI</v>
      </c>
    </row>
    <row r="167">
      <c r="A167" s="16" t="s">
        <v>636</v>
      </c>
      <c r="B167" s="16" t="s">
        <v>764</v>
      </c>
      <c r="C167" s="17">
        <v>46598.0</v>
      </c>
      <c r="D167" s="17">
        <v>2.0</v>
      </c>
      <c r="E167" s="3" t="str">
        <f t="shared" si="2"/>
        <v>KATSINA_SABUWA</v>
      </c>
    </row>
    <row r="168">
      <c r="A168" s="16" t="s">
        <v>636</v>
      </c>
      <c r="B168" s="16" t="s">
        <v>765</v>
      </c>
      <c r="C168" s="17">
        <v>48663.0</v>
      </c>
      <c r="D168" s="17">
        <v>2.0</v>
      </c>
      <c r="E168" s="3" t="str">
        <f t="shared" si="2"/>
        <v>KATSINA_SAFANA</v>
      </c>
    </row>
    <row r="169">
      <c r="A169" s="16" t="s">
        <v>636</v>
      </c>
      <c r="B169" s="16" t="s">
        <v>766</v>
      </c>
      <c r="C169" s="17">
        <v>48375.0</v>
      </c>
      <c r="D169" s="17">
        <v>2.0</v>
      </c>
      <c r="E169" s="3" t="str">
        <f t="shared" si="2"/>
        <v>KATSINA_SANDAMU</v>
      </c>
    </row>
    <row r="170">
      <c r="A170" s="16" t="s">
        <v>636</v>
      </c>
      <c r="B170" s="16" t="s">
        <v>767</v>
      </c>
      <c r="C170" s="17">
        <v>52531.0</v>
      </c>
      <c r="D170" s="17">
        <v>2.0</v>
      </c>
      <c r="E170" s="3" t="str">
        <f t="shared" si="2"/>
        <v>KATSINA_ZANGO</v>
      </c>
    </row>
    <row r="171">
      <c r="A171" s="16" t="s">
        <v>639</v>
      </c>
      <c r="B171" s="16" t="s">
        <v>768</v>
      </c>
      <c r="C171" s="17">
        <v>23737.0</v>
      </c>
      <c r="D171" s="17">
        <v>2.0</v>
      </c>
      <c r="E171" s="3" t="str">
        <f t="shared" si="2"/>
        <v>KEBBI_ALEIRO</v>
      </c>
    </row>
    <row r="172">
      <c r="A172" s="16" t="s">
        <v>639</v>
      </c>
      <c r="B172" s="16" t="s">
        <v>769</v>
      </c>
      <c r="C172" s="17">
        <v>59929.0</v>
      </c>
      <c r="D172" s="17">
        <v>2.0</v>
      </c>
      <c r="E172" s="3" t="str">
        <f t="shared" si="2"/>
        <v>KEBBI_AREWA DANDI</v>
      </c>
    </row>
    <row r="173">
      <c r="A173" s="16" t="s">
        <v>639</v>
      </c>
      <c r="B173" s="16" t="s">
        <v>770</v>
      </c>
      <c r="C173" s="17">
        <v>62506.0</v>
      </c>
      <c r="D173" s="17">
        <v>2.0</v>
      </c>
      <c r="E173" s="3" t="str">
        <f t="shared" si="2"/>
        <v>KEBBI_ARGUNGU</v>
      </c>
    </row>
    <row r="174">
      <c r="A174" s="16" t="s">
        <v>639</v>
      </c>
      <c r="B174" s="16" t="s">
        <v>771</v>
      </c>
      <c r="C174" s="17">
        <v>0.0</v>
      </c>
      <c r="D174" s="17">
        <v>2.0</v>
      </c>
      <c r="E174" s="3" t="str">
        <f t="shared" si="2"/>
        <v>KEBBI_AUGIE</v>
      </c>
    </row>
    <row r="175">
      <c r="A175" s="16" t="s">
        <v>639</v>
      </c>
      <c r="B175" s="16" t="s">
        <v>772</v>
      </c>
      <c r="C175" s="17">
        <v>102846.0</v>
      </c>
      <c r="D175" s="17">
        <v>2.0</v>
      </c>
      <c r="E175" s="3" t="str">
        <f t="shared" si="2"/>
        <v>KEBBI_BAGUDO</v>
      </c>
    </row>
    <row r="176">
      <c r="A176" s="16" t="s">
        <v>639</v>
      </c>
      <c r="B176" s="16" t="s">
        <v>773</v>
      </c>
      <c r="C176" s="17">
        <v>92735.0</v>
      </c>
      <c r="D176" s="17">
        <v>2.0</v>
      </c>
      <c r="E176" s="3" t="str">
        <f t="shared" si="2"/>
        <v>KEBBI_BIRNIN KEBBI</v>
      </c>
    </row>
    <row r="177">
      <c r="A177" s="16" t="s">
        <v>639</v>
      </c>
      <c r="B177" s="16" t="s">
        <v>774</v>
      </c>
      <c r="C177" s="17">
        <v>60854.0</v>
      </c>
      <c r="D177" s="17">
        <v>2.0</v>
      </c>
      <c r="E177" s="3" t="str">
        <f t="shared" si="2"/>
        <v>KEBBI_BUNZA</v>
      </c>
    </row>
    <row r="178">
      <c r="A178" s="16" t="s">
        <v>639</v>
      </c>
      <c r="B178" s="16" t="s">
        <v>775</v>
      </c>
      <c r="C178" s="17">
        <v>46088.0</v>
      </c>
      <c r="D178" s="17">
        <v>2.0</v>
      </c>
      <c r="E178" s="3" t="str">
        <f t="shared" si="2"/>
        <v>KEBBI_DANDI</v>
      </c>
    </row>
    <row r="179">
      <c r="A179" s="16" t="s">
        <v>639</v>
      </c>
      <c r="B179" s="16" t="s">
        <v>776</v>
      </c>
      <c r="C179" s="17">
        <v>96393.0</v>
      </c>
      <c r="D179" s="17">
        <v>2.0</v>
      </c>
      <c r="E179" s="3" t="str">
        <f t="shared" si="2"/>
        <v>KEBBI_DANKO-WASAGU</v>
      </c>
    </row>
    <row r="180">
      <c r="A180" s="16" t="s">
        <v>639</v>
      </c>
      <c r="B180" s="16" t="s">
        <v>777</v>
      </c>
      <c r="C180" s="17">
        <v>50893.0</v>
      </c>
      <c r="D180" s="17">
        <v>2.0</v>
      </c>
      <c r="E180" s="3" t="str">
        <f t="shared" si="2"/>
        <v>KEBBI_FAKAI</v>
      </c>
    </row>
    <row r="181">
      <c r="A181" s="16" t="s">
        <v>639</v>
      </c>
      <c r="B181" s="16" t="s">
        <v>778</v>
      </c>
      <c r="C181" s="17">
        <v>50931.0</v>
      </c>
      <c r="D181" s="17">
        <v>2.0</v>
      </c>
      <c r="E181" s="3" t="str">
        <f t="shared" si="2"/>
        <v>KEBBI_GWANDU</v>
      </c>
    </row>
    <row r="182">
      <c r="A182" s="16" t="s">
        <v>639</v>
      </c>
      <c r="B182" s="16" t="s">
        <v>779</v>
      </c>
      <c r="C182" s="17">
        <v>66508.0</v>
      </c>
      <c r="D182" s="17">
        <v>2.0</v>
      </c>
      <c r="E182" s="3" t="str">
        <f t="shared" si="2"/>
        <v>KEBBI_JEGA</v>
      </c>
    </row>
    <row r="183">
      <c r="A183" s="16" t="s">
        <v>639</v>
      </c>
      <c r="B183" s="16" t="s">
        <v>780</v>
      </c>
      <c r="C183" s="17">
        <v>32916.0</v>
      </c>
      <c r="D183" s="17">
        <v>2.0</v>
      </c>
      <c r="E183" s="3" t="str">
        <f t="shared" si="2"/>
        <v>KEBBI_KALGO</v>
      </c>
    </row>
    <row r="184">
      <c r="A184" s="16" t="s">
        <v>639</v>
      </c>
      <c r="B184" s="16" t="s">
        <v>781</v>
      </c>
      <c r="C184" s="17">
        <v>53854.0</v>
      </c>
      <c r="D184" s="17">
        <v>2.0</v>
      </c>
      <c r="E184" s="3" t="str">
        <f t="shared" si="2"/>
        <v>KEBBI_KOKO/BESSE</v>
      </c>
    </row>
    <row r="185">
      <c r="A185" s="16" t="s">
        <v>639</v>
      </c>
      <c r="B185" s="16" t="s">
        <v>782</v>
      </c>
      <c r="C185" s="17">
        <v>64070.0</v>
      </c>
      <c r="D185" s="17">
        <v>2.0</v>
      </c>
      <c r="E185" s="3" t="str">
        <f t="shared" si="2"/>
        <v>KEBBI_MAIYAMA</v>
      </c>
    </row>
    <row r="186">
      <c r="A186" s="16" t="s">
        <v>639</v>
      </c>
      <c r="B186" s="16" t="s">
        <v>783</v>
      </c>
      <c r="C186" s="17">
        <v>48731.0</v>
      </c>
      <c r="D186" s="17">
        <v>2.0</v>
      </c>
      <c r="E186" s="3" t="str">
        <f t="shared" si="2"/>
        <v>KEBBI_NGASKI</v>
      </c>
    </row>
    <row r="187">
      <c r="A187" s="16" t="s">
        <v>639</v>
      </c>
      <c r="B187" s="16" t="s">
        <v>784</v>
      </c>
      <c r="C187" s="17">
        <v>55297.0</v>
      </c>
      <c r="D187" s="17">
        <v>2.0</v>
      </c>
      <c r="E187" s="3" t="str">
        <f t="shared" si="2"/>
        <v>KEBBI_SAKABA</v>
      </c>
    </row>
    <row r="188">
      <c r="A188" s="16" t="s">
        <v>639</v>
      </c>
      <c r="B188" s="16" t="s">
        <v>785</v>
      </c>
      <c r="C188" s="17">
        <v>57787.0</v>
      </c>
      <c r="D188" s="17">
        <v>2.0</v>
      </c>
      <c r="E188" s="3" t="str">
        <f t="shared" si="2"/>
        <v>KEBBI_SHANGA</v>
      </c>
    </row>
    <row r="189">
      <c r="A189" s="16" t="s">
        <v>639</v>
      </c>
      <c r="B189" s="16" t="s">
        <v>786</v>
      </c>
      <c r="C189" s="17">
        <v>53447.0</v>
      </c>
      <c r="D189" s="17">
        <v>2.0</v>
      </c>
      <c r="E189" s="3" t="str">
        <f t="shared" si="2"/>
        <v>KEBBI_SURU</v>
      </c>
    </row>
    <row r="190">
      <c r="A190" s="16" t="s">
        <v>639</v>
      </c>
      <c r="B190" s="16" t="s">
        <v>787</v>
      </c>
      <c r="C190" s="17">
        <v>33108.0</v>
      </c>
      <c r="D190" s="17">
        <v>2.0</v>
      </c>
      <c r="E190" s="3" t="str">
        <f t="shared" si="2"/>
        <v>KEBBI_YAURI</v>
      </c>
    </row>
    <row r="191">
      <c r="A191" s="16" t="s">
        <v>639</v>
      </c>
      <c r="B191" s="16" t="s">
        <v>788</v>
      </c>
      <c r="C191" s="17">
        <v>60864.0</v>
      </c>
      <c r="D191" s="17">
        <v>2.0</v>
      </c>
      <c r="E191" s="3" t="str">
        <f t="shared" si="2"/>
        <v>KEBBI_ZURU</v>
      </c>
    </row>
    <row r="192">
      <c r="A192" s="16" t="s">
        <v>557</v>
      </c>
      <c r="B192" s="16" t="s">
        <v>558</v>
      </c>
      <c r="C192" s="17">
        <v>49079.0</v>
      </c>
      <c r="D192" s="17">
        <v>4.0</v>
      </c>
      <c r="E192" s="3" t="str">
        <f t="shared" si="2"/>
        <v>SOKOTO_BINJI</v>
      </c>
    </row>
    <row r="193">
      <c r="A193" s="16" t="s">
        <v>557</v>
      </c>
      <c r="B193" s="16" t="s">
        <v>560</v>
      </c>
      <c r="C193" s="17">
        <v>0.0</v>
      </c>
      <c r="D193" s="17">
        <v>4.0</v>
      </c>
      <c r="E193" s="3" t="str">
        <f t="shared" si="2"/>
        <v>SOKOTO_BODINGA</v>
      </c>
    </row>
    <row r="194">
      <c r="A194" s="16" t="s">
        <v>557</v>
      </c>
      <c r="B194" s="16" t="s">
        <v>561</v>
      </c>
      <c r="C194" s="17">
        <v>55627.0</v>
      </c>
      <c r="D194" s="17">
        <v>4.0</v>
      </c>
      <c r="E194" s="3" t="str">
        <f t="shared" si="2"/>
        <v>SOKOTO_DANGE SHUNI</v>
      </c>
    </row>
    <row r="195">
      <c r="A195" s="16" t="s">
        <v>557</v>
      </c>
      <c r="B195" s="16" t="s">
        <v>562</v>
      </c>
      <c r="C195" s="17">
        <v>73168.0</v>
      </c>
      <c r="D195" s="17">
        <v>4.0</v>
      </c>
      <c r="E195" s="3" t="str">
        <f t="shared" si="2"/>
        <v>SOKOTO_GADA</v>
      </c>
    </row>
    <row r="196">
      <c r="A196" s="16" t="s">
        <v>557</v>
      </c>
      <c r="B196" s="16" t="s">
        <v>563</v>
      </c>
      <c r="C196" s="17">
        <v>72969.0</v>
      </c>
      <c r="D196" s="17">
        <v>4.0</v>
      </c>
      <c r="E196" s="3" t="str">
        <f t="shared" si="2"/>
        <v>SOKOTO_GORONYO</v>
      </c>
    </row>
    <row r="197">
      <c r="A197" s="16" t="s">
        <v>557</v>
      </c>
      <c r="B197" s="16" t="s">
        <v>564</v>
      </c>
      <c r="C197" s="17">
        <v>21214.0</v>
      </c>
      <c r="D197" s="17">
        <v>4.0</v>
      </c>
      <c r="E197" s="3" t="str">
        <f t="shared" si="2"/>
        <v>SOKOTO_GUDU</v>
      </c>
    </row>
    <row r="198">
      <c r="A198" s="16" t="s">
        <v>557</v>
      </c>
      <c r="B198" s="16" t="s">
        <v>565</v>
      </c>
      <c r="C198" s="17">
        <v>76968.0</v>
      </c>
      <c r="D198" s="17">
        <v>4.0</v>
      </c>
      <c r="E198" s="3" t="str">
        <f t="shared" si="2"/>
        <v>SOKOTO_GWADABAWA</v>
      </c>
    </row>
    <row r="199">
      <c r="A199" s="16" t="s">
        <v>557</v>
      </c>
      <c r="B199" s="16" t="s">
        <v>566</v>
      </c>
      <c r="C199" s="17">
        <v>48091.0</v>
      </c>
      <c r="D199" s="17">
        <v>4.0</v>
      </c>
      <c r="E199" s="3" t="str">
        <f t="shared" si="2"/>
        <v>SOKOTO_ILLELA</v>
      </c>
    </row>
    <row r="200">
      <c r="A200" s="16" t="s">
        <v>557</v>
      </c>
      <c r="B200" s="16" t="s">
        <v>567</v>
      </c>
      <c r="C200" s="17">
        <v>49282.0</v>
      </c>
      <c r="D200" s="17">
        <v>4.0</v>
      </c>
      <c r="E200" s="3" t="str">
        <f t="shared" si="2"/>
        <v>SOKOTO_ISA</v>
      </c>
    </row>
    <row r="201">
      <c r="A201" s="16" t="s">
        <v>557</v>
      </c>
      <c r="B201" s="16" t="s">
        <v>568</v>
      </c>
      <c r="C201" s="17">
        <v>64265.0</v>
      </c>
      <c r="D201" s="17">
        <v>4.0</v>
      </c>
      <c r="E201" s="3" t="str">
        <f t="shared" si="2"/>
        <v>SOKOTO_KEBBE</v>
      </c>
    </row>
    <row r="202">
      <c r="A202" s="16" t="s">
        <v>557</v>
      </c>
      <c r="B202" s="16" t="s">
        <v>569</v>
      </c>
      <c r="C202" s="17">
        <v>68441.0</v>
      </c>
      <c r="D202" s="17">
        <v>4.0</v>
      </c>
      <c r="E202" s="3" t="str">
        <f t="shared" si="2"/>
        <v>SOKOTO_KWARE</v>
      </c>
    </row>
    <row r="203">
      <c r="A203" s="16" t="s">
        <v>557</v>
      </c>
      <c r="B203" s="16" t="s">
        <v>570</v>
      </c>
      <c r="C203" s="17">
        <v>44418.0</v>
      </c>
      <c r="D203" s="17">
        <v>4.0</v>
      </c>
      <c r="E203" s="3" t="str">
        <f t="shared" si="2"/>
        <v>SOKOTO_RABAH</v>
      </c>
    </row>
    <row r="204">
      <c r="A204" s="16" t="s">
        <v>557</v>
      </c>
      <c r="B204" s="16" t="s">
        <v>571</v>
      </c>
      <c r="C204" s="17">
        <v>0.0</v>
      </c>
      <c r="D204" s="17">
        <v>4.0</v>
      </c>
      <c r="E204" s="3" t="str">
        <f t="shared" si="2"/>
        <v>SOKOTO_SABON BIRNI</v>
      </c>
    </row>
    <row r="205">
      <c r="A205" s="16" t="s">
        <v>557</v>
      </c>
      <c r="B205" s="16" t="s">
        <v>572</v>
      </c>
      <c r="C205" s="17">
        <v>46760.0</v>
      </c>
      <c r="D205" s="17">
        <v>4.0</v>
      </c>
      <c r="E205" s="3" t="str">
        <f t="shared" si="2"/>
        <v>SOKOTO_SHAGARI</v>
      </c>
    </row>
    <row r="206">
      <c r="A206" s="16" t="s">
        <v>557</v>
      </c>
      <c r="B206" s="16" t="s">
        <v>573</v>
      </c>
      <c r="C206" s="17">
        <v>0.0</v>
      </c>
      <c r="D206" s="17">
        <v>4.0</v>
      </c>
      <c r="E206" s="3" t="str">
        <f t="shared" si="2"/>
        <v>SOKOTO_SILAME</v>
      </c>
    </row>
    <row r="207">
      <c r="A207" s="16" t="s">
        <v>557</v>
      </c>
      <c r="B207" s="16" t="s">
        <v>574</v>
      </c>
      <c r="C207" s="17">
        <v>52886.0</v>
      </c>
      <c r="D207" s="17">
        <v>4.0</v>
      </c>
      <c r="E207" s="3" t="str">
        <f t="shared" si="2"/>
        <v>SOKOTO_SOKOTO NORTH</v>
      </c>
    </row>
    <row r="208">
      <c r="A208" s="16" t="s">
        <v>557</v>
      </c>
      <c r="B208" s="16" t="s">
        <v>575</v>
      </c>
      <c r="C208" s="17">
        <v>61056.0</v>
      </c>
      <c r="D208" s="17">
        <v>4.0</v>
      </c>
      <c r="E208" s="3" t="str">
        <f t="shared" si="2"/>
        <v>SOKOTO_SOKOTO SOUTH</v>
      </c>
    </row>
    <row r="209">
      <c r="A209" s="16" t="s">
        <v>557</v>
      </c>
      <c r="B209" s="16" t="s">
        <v>576</v>
      </c>
      <c r="C209" s="17">
        <v>83207.0</v>
      </c>
      <c r="D209" s="17">
        <v>4.0</v>
      </c>
      <c r="E209" s="3" t="str">
        <f t="shared" si="2"/>
        <v>SOKOTO_TAMBUWAL</v>
      </c>
    </row>
    <row r="210">
      <c r="A210" s="16" t="s">
        <v>557</v>
      </c>
      <c r="B210" s="16" t="s">
        <v>577</v>
      </c>
      <c r="C210" s="17">
        <v>38862.0</v>
      </c>
      <c r="D210" s="17">
        <v>4.0</v>
      </c>
      <c r="E210" s="3" t="str">
        <f t="shared" si="2"/>
        <v>SOKOTO_TANGAZA</v>
      </c>
    </row>
    <row r="211">
      <c r="A211" s="16" t="s">
        <v>557</v>
      </c>
      <c r="B211" s="16" t="s">
        <v>578</v>
      </c>
      <c r="C211" s="17">
        <v>33274.0</v>
      </c>
      <c r="D211" s="17">
        <v>4.0</v>
      </c>
      <c r="E211" s="3" t="str">
        <f t="shared" si="2"/>
        <v>SOKOTO_TURETA</v>
      </c>
    </row>
    <row r="212">
      <c r="A212" s="16" t="s">
        <v>557</v>
      </c>
      <c r="B212" s="16" t="s">
        <v>579</v>
      </c>
      <c r="C212" s="17">
        <v>57600.0</v>
      </c>
      <c r="D212" s="17">
        <v>4.0</v>
      </c>
      <c r="E212" s="3" t="str">
        <f t="shared" si="2"/>
        <v>SOKOTO_WAMAKKO</v>
      </c>
    </row>
    <row r="213">
      <c r="A213" s="16" t="s">
        <v>557</v>
      </c>
      <c r="B213" s="16" t="s">
        <v>580</v>
      </c>
      <c r="C213" s="17">
        <v>44054.0</v>
      </c>
      <c r="D213" s="17">
        <v>4.0</v>
      </c>
      <c r="E213" s="3" t="str">
        <f t="shared" si="2"/>
        <v>SOKOTO_WURNO</v>
      </c>
    </row>
    <row r="214">
      <c r="A214" s="16" t="s">
        <v>557</v>
      </c>
      <c r="B214" s="16" t="s">
        <v>581</v>
      </c>
      <c r="C214" s="17">
        <v>38293.0</v>
      </c>
      <c r="D214" s="17">
        <v>4.0</v>
      </c>
      <c r="E214" s="3" t="str">
        <f t="shared" si="2"/>
        <v>SOKOTO_YABO</v>
      </c>
    </row>
    <row r="215">
      <c r="A215" s="16" t="s">
        <v>556</v>
      </c>
      <c r="B215" s="16" t="s">
        <v>789</v>
      </c>
      <c r="C215" s="17">
        <v>79696.0</v>
      </c>
      <c r="D215" s="17">
        <v>1.0</v>
      </c>
      <c r="E215" s="3" t="str">
        <f t="shared" si="2"/>
        <v>YOBE_BADE</v>
      </c>
    </row>
    <row r="216">
      <c r="A216" s="16" t="s">
        <v>556</v>
      </c>
      <c r="B216" s="16" t="s">
        <v>790</v>
      </c>
      <c r="C216" s="17">
        <v>0.0</v>
      </c>
      <c r="D216" s="17">
        <v>1.0</v>
      </c>
      <c r="E216" s="3" t="str">
        <f t="shared" si="2"/>
        <v>YOBE_BURSARI</v>
      </c>
    </row>
    <row r="217">
      <c r="A217" s="16" t="s">
        <v>556</v>
      </c>
      <c r="B217" s="16" t="s">
        <v>791</v>
      </c>
      <c r="C217" s="17">
        <v>0.0</v>
      </c>
      <c r="D217" s="17">
        <v>1.0</v>
      </c>
      <c r="E217" s="3" t="str">
        <f t="shared" si="2"/>
        <v>YOBE_DAMATURU</v>
      </c>
    </row>
    <row r="218">
      <c r="A218" s="16" t="s">
        <v>556</v>
      </c>
      <c r="B218" s="16" t="s">
        <v>792</v>
      </c>
      <c r="C218" s="17">
        <v>96969.0</v>
      </c>
      <c r="D218" s="17">
        <v>1.0</v>
      </c>
      <c r="E218" s="3" t="str">
        <f t="shared" si="2"/>
        <v>YOBE_FIKA</v>
      </c>
    </row>
    <row r="219">
      <c r="A219" s="16" t="s">
        <v>556</v>
      </c>
      <c r="B219" s="16" t="s">
        <v>793</v>
      </c>
      <c r="C219" s="17">
        <v>104111.0</v>
      </c>
      <c r="D219" s="17">
        <v>1.0</v>
      </c>
      <c r="E219" s="3" t="str">
        <f t="shared" si="2"/>
        <v>YOBE_FUNE</v>
      </c>
    </row>
    <row r="220">
      <c r="A220" s="16" t="s">
        <v>556</v>
      </c>
      <c r="B220" s="16" t="s">
        <v>794</v>
      </c>
      <c r="C220" s="17">
        <v>65622.0</v>
      </c>
      <c r="D220" s="17">
        <v>1.0</v>
      </c>
      <c r="E220" s="3" t="str">
        <f t="shared" si="2"/>
        <v>YOBE_GEIDAM</v>
      </c>
    </row>
    <row r="221">
      <c r="A221" s="16" t="s">
        <v>556</v>
      </c>
      <c r="B221" s="16" t="s">
        <v>795</v>
      </c>
      <c r="C221" s="17">
        <v>43225.0</v>
      </c>
      <c r="D221" s="17">
        <v>1.0</v>
      </c>
      <c r="E221" s="3" t="str">
        <f t="shared" si="2"/>
        <v>YOBE_GUJBA</v>
      </c>
    </row>
    <row r="222">
      <c r="A222" s="16" t="s">
        <v>556</v>
      </c>
      <c r="B222" s="16" t="s">
        <v>796</v>
      </c>
      <c r="C222" s="17">
        <v>71396.0</v>
      </c>
      <c r="D222" s="17">
        <v>1.0</v>
      </c>
      <c r="E222" s="3" t="str">
        <f t="shared" si="2"/>
        <v>YOBE_GULANI</v>
      </c>
    </row>
    <row r="223">
      <c r="A223" s="16" t="s">
        <v>556</v>
      </c>
      <c r="B223" s="16" t="s">
        <v>797</v>
      </c>
      <c r="C223" s="17">
        <v>0.0</v>
      </c>
      <c r="D223" s="17">
        <v>1.0</v>
      </c>
      <c r="E223" s="3" t="str">
        <f t="shared" si="2"/>
        <v>YOBE_JAKUSKO</v>
      </c>
    </row>
    <row r="224">
      <c r="A224" s="16" t="s">
        <v>556</v>
      </c>
      <c r="B224" s="16" t="s">
        <v>798</v>
      </c>
      <c r="C224" s="17">
        <v>0.0</v>
      </c>
      <c r="D224" s="17">
        <v>1.0</v>
      </c>
      <c r="E224" s="3" t="str">
        <f t="shared" si="2"/>
        <v>YOBE_KARASUWA</v>
      </c>
    </row>
    <row r="225">
      <c r="A225" s="16" t="s">
        <v>556</v>
      </c>
      <c r="B225" s="16" t="s">
        <v>799</v>
      </c>
      <c r="C225" s="17">
        <v>0.0</v>
      </c>
      <c r="D225" s="17">
        <v>1.0</v>
      </c>
      <c r="E225" s="3" t="str">
        <f t="shared" si="2"/>
        <v>YOBE_MACHINA</v>
      </c>
    </row>
    <row r="226">
      <c r="A226" s="16" t="s">
        <v>556</v>
      </c>
      <c r="B226" s="16" t="s">
        <v>800</v>
      </c>
      <c r="C226" s="17">
        <v>62299.0</v>
      </c>
      <c r="D226" s="17">
        <v>1.0</v>
      </c>
      <c r="E226" s="3" t="str">
        <f t="shared" si="2"/>
        <v>YOBE_NANGERE</v>
      </c>
    </row>
    <row r="227">
      <c r="A227" s="16" t="s">
        <v>556</v>
      </c>
      <c r="B227" s="16" t="s">
        <v>801</v>
      </c>
      <c r="C227" s="17">
        <v>46535.0</v>
      </c>
      <c r="D227" s="17">
        <v>1.0</v>
      </c>
      <c r="E227" s="3" t="str">
        <f t="shared" si="2"/>
        <v>YOBE_NGURU</v>
      </c>
    </row>
    <row r="228">
      <c r="A228" s="16" t="s">
        <v>556</v>
      </c>
      <c r="B228" s="16" t="s">
        <v>802</v>
      </c>
      <c r="C228" s="17">
        <v>207295.0</v>
      </c>
      <c r="D228" s="17">
        <v>1.0</v>
      </c>
      <c r="E228" s="3" t="str">
        <f t="shared" si="2"/>
        <v>YOBE_POTISKUM</v>
      </c>
    </row>
    <row r="229">
      <c r="A229" s="16" t="s">
        <v>556</v>
      </c>
      <c r="B229" s="16" t="s">
        <v>803</v>
      </c>
      <c r="C229" s="17">
        <v>30591.0</v>
      </c>
      <c r="D229" s="17">
        <v>1.0</v>
      </c>
      <c r="E229" s="3" t="str">
        <f t="shared" si="2"/>
        <v>YOBE_TARMUWA</v>
      </c>
    </row>
    <row r="230">
      <c r="A230" s="16" t="s">
        <v>556</v>
      </c>
      <c r="B230" s="16" t="s">
        <v>804</v>
      </c>
      <c r="C230" s="17">
        <v>0.0</v>
      </c>
      <c r="D230" s="17">
        <v>1.0</v>
      </c>
      <c r="E230" s="3" t="str">
        <f t="shared" si="2"/>
        <v>YOBE_YUNUSARI</v>
      </c>
    </row>
    <row r="231">
      <c r="A231" s="16" t="s">
        <v>556</v>
      </c>
      <c r="B231" s="16" t="s">
        <v>805</v>
      </c>
      <c r="C231" s="17">
        <v>0.0</v>
      </c>
      <c r="D231" s="17">
        <v>1.0</v>
      </c>
      <c r="E231" s="3" t="str">
        <f t="shared" si="2"/>
        <v>YOBE_YUSUFARI</v>
      </c>
    </row>
    <row r="232">
      <c r="A232" s="16" t="s">
        <v>553</v>
      </c>
      <c r="B232" s="16" t="s">
        <v>806</v>
      </c>
      <c r="C232" s="17">
        <v>146481.0</v>
      </c>
      <c r="D232" s="17">
        <v>1.0</v>
      </c>
      <c r="E232" s="3" t="str">
        <f t="shared" si="2"/>
        <v>GOMBE_AKKO</v>
      </c>
    </row>
    <row r="233">
      <c r="A233" s="16" t="s">
        <v>553</v>
      </c>
      <c r="B233" s="16" t="s">
        <v>807</v>
      </c>
      <c r="C233" s="17">
        <v>59999.0</v>
      </c>
      <c r="D233" s="17">
        <v>1.0</v>
      </c>
      <c r="E233" s="3" t="str">
        <f t="shared" si="2"/>
        <v>GOMBE_BALANGA</v>
      </c>
    </row>
    <row r="234">
      <c r="A234" s="16" t="s">
        <v>553</v>
      </c>
      <c r="B234" s="16" t="s">
        <v>808</v>
      </c>
      <c r="C234" s="17">
        <v>49797.0</v>
      </c>
      <c r="D234" s="17">
        <v>1.0</v>
      </c>
      <c r="E234" s="3" t="str">
        <f t="shared" si="2"/>
        <v>GOMBE_BILLIRI</v>
      </c>
    </row>
    <row r="235">
      <c r="A235" s="16" t="s">
        <v>553</v>
      </c>
      <c r="B235" s="16" t="s">
        <v>809</v>
      </c>
      <c r="C235" s="17">
        <v>63205.0</v>
      </c>
      <c r="D235" s="17">
        <v>1.0</v>
      </c>
      <c r="E235" s="3" t="str">
        <f t="shared" si="2"/>
        <v>GOMBE_DUKKU</v>
      </c>
    </row>
    <row r="236">
      <c r="A236" s="16" t="s">
        <v>553</v>
      </c>
      <c r="B236" s="16" t="s">
        <v>810</v>
      </c>
      <c r="C236" s="17">
        <v>60861.0</v>
      </c>
      <c r="D236" s="17">
        <v>1.0</v>
      </c>
      <c r="E236" s="3" t="str">
        <f t="shared" si="2"/>
        <v>GOMBE_FUNAKAYE</v>
      </c>
    </row>
    <row r="237">
      <c r="A237" s="16" t="s">
        <v>553</v>
      </c>
      <c r="B237" s="16" t="s">
        <v>553</v>
      </c>
      <c r="C237" s="17">
        <v>92109.0</v>
      </c>
      <c r="D237" s="17">
        <v>1.0</v>
      </c>
      <c r="E237" s="3" t="str">
        <f t="shared" si="2"/>
        <v>GOMBE_GOMBE</v>
      </c>
    </row>
    <row r="238">
      <c r="A238" s="16" t="s">
        <v>553</v>
      </c>
      <c r="B238" s="16" t="s">
        <v>811</v>
      </c>
      <c r="C238" s="17">
        <v>45330.0</v>
      </c>
      <c r="D238" s="17">
        <v>1.0</v>
      </c>
      <c r="E238" s="3" t="str">
        <f t="shared" si="2"/>
        <v>GOMBE_KALTUNGO</v>
      </c>
    </row>
    <row r="239">
      <c r="A239" s="16" t="s">
        <v>553</v>
      </c>
      <c r="B239" s="16" t="s">
        <v>812</v>
      </c>
      <c r="C239" s="17">
        <v>47560.0</v>
      </c>
      <c r="D239" s="17">
        <v>1.0</v>
      </c>
      <c r="E239" s="3" t="str">
        <f t="shared" si="2"/>
        <v>GOMBE_KWAMI</v>
      </c>
    </row>
    <row r="240">
      <c r="A240" s="16" t="s">
        <v>553</v>
      </c>
      <c r="B240" s="16" t="s">
        <v>813</v>
      </c>
      <c r="C240" s="17">
        <v>47928.0</v>
      </c>
      <c r="D240" s="17">
        <v>1.0</v>
      </c>
      <c r="E240" s="3" t="str">
        <f t="shared" si="2"/>
        <v>GOMBE_NAFADA</v>
      </c>
    </row>
    <row r="241">
      <c r="A241" s="16" t="s">
        <v>553</v>
      </c>
      <c r="B241" s="16" t="s">
        <v>814</v>
      </c>
      <c r="C241" s="17">
        <v>36805.0</v>
      </c>
      <c r="D241" s="17">
        <v>1.0</v>
      </c>
      <c r="E241" s="3" t="str">
        <f t="shared" si="2"/>
        <v>GOMBE_SHONGOM</v>
      </c>
    </row>
    <row r="242">
      <c r="A242" s="16" t="s">
        <v>553</v>
      </c>
      <c r="B242" s="16" t="s">
        <v>815</v>
      </c>
      <c r="C242" s="17">
        <v>84197.0</v>
      </c>
      <c r="D242" s="17">
        <v>1.0</v>
      </c>
      <c r="E242" s="3" t="str">
        <f t="shared" si="2"/>
        <v>GOMBE_YAMALTU-DEBA</v>
      </c>
    </row>
    <row r="243">
      <c r="A243" s="16"/>
      <c r="B243" s="16"/>
      <c r="C243" s="16"/>
      <c r="D243" s="16"/>
    </row>
    <row r="244">
      <c r="A244" s="16"/>
      <c r="B244" s="16"/>
      <c r="C244" s="16"/>
      <c r="D244" s="16"/>
    </row>
    <row r="245">
      <c r="A245" s="16"/>
      <c r="B245" s="16"/>
      <c r="C245" s="16"/>
      <c r="D245" s="16"/>
    </row>
    <row r="246">
      <c r="A246" s="16"/>
      <c r="B246" s="16"/>
      <c r="C246" s="16"/>
      <c r="D246" s="16"/>
    </row>
    <row r="247">
      <c r="A247" s="16"/>
      <c r="B247" s="16"/>
      <c r="C247" s="16"/>
      <c r="D247" s="16"/>
    </row>
    <row r="248">
      <c r="A248" s="16"/>
      <c r="B248" s="16"/>
      <c r="C248" s="16"/>
      <c r="D248" s="16"/>
    </row>
    <row r="249">
      <c r="A249" s="16"/>
      <c r="B249" s="16"/>
      <c r="C249" s="16"/>
      <c r="D249" s="16"/>
    </row>
    <row r="250">
      <c r="A250" s="16"/>
      <c r="B250" s="16"/>
      <c r="C250" s="16"/>
      <c r="D250" s="16"/>
    </row>
    <row r="251">
      <c r="A251" s="16"/>
      <c r="B251" s="16"/>
      <c r="C251" s="16"/>
      <c r="D251" s="16"/>
    </row>
    <row r="252">
      <c r="A252" s="16"/>
      <c r="B252" s="16"/>
      <c r="C252" s="16"/>
      <c r="D252" s="16"/>
    </row>
    <row r="253">
      <c r="A253" s="16"/>
      <c r="B253" s="16"/>
      <c r="C253" s="16"/>
      <c r="D253" s="16"/>
    </row>
    <row r="254">
      <c r="A254" s="16"/>
      <c r="B254" s="16"/>
      <c r="C254" s="16"/>
      <c r="D254" s="16"/>
    </row>
    <row r="255">
      <c r="A255" s="16"/>
      <c r="B255" s="16"/>
      <c r="C255" s="16"/>
      <c r="D255" s="16"/>
    </row>
    <row r="256">
      <c r="A256" s="16"/>
      <c r="B256" s="16"/>
      <c r="C256" s="16"/>
      <c r="D256" s="16"/>
    </row>
    <row r="257">
      <c r="A257" s="16"/>
      <c r="B257" s="16"/>
      <c r="C257" s="16"/>
      <c r="D257" s="16"/>
    </row>
    <row r="258">
      <c r="A258" s="16"/>
      <c r="B258" s="16"/>
      <c r="C258" s="16"/>
      <c r="D258" s="16"/>
    </row>
    <row r="259">
      <c r="A259" s="16"/>
      <c r="B259" s="16"/>
      <c r="C259" s="16"/>
      <c r="D259" s="16"/>
    </row>
    <row r="260">
      <c r="A260" s="16"/>
      <c r="B260" s="16"/>
      <c r="C260" s="16"/>
      <c r="D260" s="16"/>
    </row>
    <row r="261">
      <c r="A261" s="16"/>
      <c r="B261" s="16"/>
      <c r="C261" s="16"/>
      <c r="D261" s="16"/>
    </row>
    <row r="262">
      <c r="A262" s="16"/>
      <c r="B262" s="16"/>
      <c r="C262" s="16"/>
      <c r="D262" s="16"/>
    </row>
    <row r="263">
      <c r="A263" s="16"/>
      <c r="B263" s="16"/>
      <c r="C263" s="16"/>
      <c r="D263" s="16"/>
    </row>
    <row r="264">
      <c r="A264" s="16"/>
      <c r="B264" s="16"/>
      <c r="C264" s="16"/>
      <c r="D264" s="16"/>
    </row>
    <row r="265">
      <c r="A265" s="16"/>
      <c r="B265" s="16"/>
      <c r="C265" s="16"/>
      <c r="D265" s="16"/>
    </row>
    <row r="266">
      <c r="A266" s="16"/>
      <c r="B266" s="16"/>
      <c r="C266" s="16"/>
      <c r="D266" s="16"/>
    </row>
    <row r="267">
      <c r="A267" s="16"/>
      <c r="B267" s="16"/>
      <c r="C267" s="16"/>
      <c r="D267" s="16"/>
    </row>
    <row r="268">
      <c r="A268" s="16"/>
      <c r="B268" s="16"/>
      <c r="C268" s="16"/>
      <c r="D268" s="16"/>
    </row>
    <row r="269">
      <c r="A269" s="16"/>
      <c r="B269" s="16"/>
      <c r="C269" s="16"/>
      <c r="D269" s="16"/>
    </row>
    <row r="270">
      <c r="A270" s="16"/>
      <c r="B270" s="16"/>
      <c r="C270" s="16"/>
      <c r="D270" s="16"/>
    </row>
    <row r="271">
      <c r="A271" s="16"/>
      <c r="B271" s="16"/>
      <c r="C271" s="16"/>
      <c r="D271" s="16"/>
    </row>
    <row r="272">
      <c r="A272" s="16"/>
      <c r="B272" s="16"/>
      <c r="C272" s="16"/>
      <c r="D272" s="16"/>
    </row>
    <row r="273">
      <c r="A273" s="16"/>
      <c r="B273" s="16"/>
      <c r="C273" s="16"/>
      <c r="D273" s="16"/>
    </row>
    <row r="274">
      <c r="A274" s="16"/>
      <c r="B274" s="16"/>
      <c r="C274" s="16"/>
      <c r="D274" s="16"/>
    </row>
    <row r="275">
      <c r="A275" s="16"/>
      <c r="B275" s="16"/>
      <c r="C275" s="16"/>
      <c r="D275" s="16"/>
    </row>
    <row r="276">
      <c r="A276" s="16"/>
      <c r="B276" s="16"/>
      <c r="C276" s="16"/>
      <c r="D276" s="16"/>
    </row>
    <row r="277">
      <c r="A277" s="16"/>
      <c r="B277" s="16"/>
      <c r="C277" s="16"/>
      <c r="D277" s="16"/>
    </row>
    <row r="278">
      <c r="A278" s="16"/>
      <c r="B278" s="16"/>
      <c r="C278" s="16"/>
      <c r="D278" s="16"/>
    </row>
    <row r="279">
      <c r="A279" s="16"/>
      <c r="B279" s="16"/>
      <c r="C279" s="16"/>
      <c r="D279" s="16"/>
    </row>
    <row r="280">
      <c r="A280" s="16"/>
      <c r="B280" s="16"/>
      <c r="C280" s="16"/>
      <c r="D280" s="16"/>
    </row>
    <row r="281">
      <c r="A281" s="16"/>
      <c r="B281" s="16"/>
      <c r="C281" s="16"/>
      <c r="D281" s="16"/>
    </row>
    <row r="282">
      <c r="A282" s="16"/>
      <c r="B282" s="16"/>
      <c r="C282" s="16"/>
      <c r="D282" s="16"/>
    </row>
    <row r="283">
      <c r="A283" s="16"/>
      <c r="B283" s="16"/>
      <c r="C283" s="16"/>
      <c r="D283" s="16"/>
    </row>
    <row r="284">
      <c r="A284" s="16"/>
      <c r="B284" s="16"/>
      <c r="C284" s="16"/>
      <c r="D284" s="16"/>
    </row>
    <row r="285">
      <c r="A285" s="16"/>
      <c r="B285" s="16"/>
      <c r="C285" s="16"/>
      <c r="D285" s="16"/>
    </row>
    <row r="286">
      <c r="A286" s="16"/>
      <c r="B286" s="16"/>
      <c r="C286" s="16"/>
      <c r="D286" s="16"/>
    </row>
    <row r="287">
      <c r="A287" s="16"/>
      <c r="B287" s="16"/>
      <c r="C287" s="16"/>
      <c r="D287" s="16"/>
    </row>
    <row r="288">
      <c r="A288" s="16"/>
      <c r="B288" s="16"/>
      <c r="C288" s="16"/>
      <c r="D288" s="16"/>
    </row>
    <row r="289">
      <c r="A289" s="16"/>
      <c r="B289" s="16"/>
      <c r="C289" s="16"/>
      <c r="D289" s="16"/>
    </row>
    <row r="290">
      <c r="A290" s="16"/>
      <c r="B290" s="16"/>
      <c r="C290" s="16"/>
      <c r="D290" s="16"/>
    </row>
    <row r="291">
      <c r="A291" s="16"/>
      <c r="B291" s="16"/>
      <c r="C291" s="16"/>
      <c r="D291" s="16"/>
    </row>
    <row r="292">
      <c r="A292" s="16"/>
      <c r="B292" s="16"/>
      <c r="C292" s="16"/>
      <c r="D292" s="16"/>
    </row>
    <row r="293">
      <c r="A293" s="16"/>
      <c r="B293" s="16"/>
      <c r="C293" s="16"/>
      <c r="D293" s="16"/>
    </row>
    <row r="294">
      <c r="A294" s="16"/>
      <c r="B294" s="16"/>
      <c r="C294" s="16"/>
      <c r="D294" s="16"/>
    </row>
    <row r="295">
      <c r="A295" s="16"/>
      <c r="B295" s="16"/>
      <c r="C295" s="16"/>
      <c r="D295" s="16"/>
    </row>
    <row r="296">
      <c r="A296" s="16"/>
      <c r="B296" s="16"/>
      <c r="C296" s="16"/>
      <c r="D296" s="16"/>
    </row>
    <row r="297">
      <c r="A297" s="16"/>
      <c r="B297" s="16"/>
      <c r="C297" s="16"/>
      <c r="D297" s="16"/>
    </row>
    <row r="298">
      <c r="A298" s="16"/>
      <c r="B298" s="16"/>
      <c r="C298" s="16"/>
      <c r="D298" s="16"/>
    </row>
    <row r="299">
      <c r="A299" s="16"/>
      <c r="B299" s="16"/>
      <c r="C299" s="16"/>
      <c r="D299" s="16"/>
    </row>
    <row r="300">
      <c r="A300" s="16"/>
      <c r="B300" s="16"/>
      <c r="C300" s="16"/>
      <c r="D300" s="16"/>
    </row>
    <row r="301">
      <c r="A301" s="16"/>
      <c r="B301" s="16"/>
      <c r="C301" s="16"/>
      <c r="D301" s="16"/>
    </row>
    <row r="302">
      <c r="A302" s="16"/>
      <c r="B302" s="16"/>
      <c r="C302" s="16"/>
      <c r="D302" s="16"/>
    </row>
    <row r="303">
      <c r="A303" s="16"/>
      <c r="B303" s="16"/>
      <c r="C303" s="16"/>
      <c r="D303" s="16"/>
    </row>
    <row r="304">
      <c r="A304" s="16"/>
      <c r="B304" s="16"/>
      <c r="C304" s="16"/>
      <c r="D304" s="16"/>
    </row>
    <row r="305">
      <c r="A305" s="16"/>
      <c r="B305" s="16"/>
      <c r="C305" s="16"/>
      <c r="D305" s="16"/>
    </row>
    <row r="306">
      <c r="A306" s="16"/>
      <c r="B306" s="16"/>
      <c r="C306" s="16"/>
      <c r="D306" s="16"/>
    </row>
    <row r="307">
      <c r="A307" s="16"/>
      <c r="B307" s="16"/>
      <c r="C307" s="16"/>
      <c r="D307" s="16"/>
    </row>
    <row r="308">
      <c r="A308" s="16"/>
      <c r="B308" s="16"/>
      <c r="C308" s="16"/>
      <c r="D308" s="16"/>
    </row>
    <row r="309">
      <c r="A309" s="16"/>
      <c r="B309" s="16"/>
      <c r="C309" s="16"/>
      <c r="D309" s="16"/>
    </row>
    <row r="310">
      <c r="A310" s="16"/>
      <c r="B310" s="16"/>
      <c r="C310" s="16"/>
      <c r="D310" s="16"/>
    </row>
    <row r="311">
      <c r="A311" s="16"/>
      <c r="B311" s="16"/>
      <c r="C311" s="16"/>
      <c r="D311" s="16"/>
    </row>
    <row r="312">
      <c r="A312" s="16"/>
      <c r="B312" s="16"/>
      <c r="C312" s="16"/>
      <c r="D312" s="16"/>
    </row>
    <row r="313">
      <c r="A313" s="16"/>
      <c r="B313" s="16"/>
      <c r="C313" s="16"/>
      <c r="D313" s="16"/>
    </row>
    <row r="314">
      <c r="A314" s="16"/>
      <c r="B314" s="16"/>
      <c r="C314" s="16"/>
      <c r="D314" s="16"/>
    </row>
    <row r="315">
      <c r="A315" s="16"/>
      <c r="B315" s="16"/>
      <c r="C315" s="16"/>
      <c r="D315" s="16"/>
    </row>
    <row r="316">
      <c r="A316" s="16"/>
      <c r="B316" s="16"/>
      <c r="C316" s="16"/>
      <c r="D316" s="16"/>
    </row>
    <row r="317">
      <c r="A317" s="16"/>
      <c r="B317" s="16"/>
      <c r="C317" s="16"/>
      <c r="D317" s="16"/>
    </row>
    <row r="318">
      <c r="A318" s="16"/>
      <c r="B318" s="16"/>
      <c r="C318" s="16"/>
      <c r="D318" s="16"/>
    </row>
    <row r="319">
      <c r="A319" s="16"/>
      <c r="B319" s="16"/>
      <c r="C319" s="16"/>
      <c r="D319" s="16"/>
    </row>
    <row r="320">
      <c r="A320" s="16"/>
      <c r="B320" s="16"/>
      <c r="C320" s="16"/>
      <c r="D320" s="16"/>
    </row>
    <row r="321">
      <c r="A321" s="16"/>
      <c r="B321" s="16"/>
      <c r="C321" s="16"/>
      <c r="D321" s="16"/>
    </row>
    <row r="322">
      <c r="A322" s="16"/>
      <c r="B322" s="16"/>
      <c r="C322" s="16"/>
      <c r="D322" s="16"/>
    </row>
    <row r="323">
      <c r="A323" s="16"/>
      <c r="B323" s="16"/>
      <c r="C323" s="16"/>
      <c r="D323" s="16"/>
    </row>
    <row r="324">
      <c r="A324" s="16"/>
      <c r="B324" s="16"/>
      <c r="C324" s="16"/>
      <c r="D324" s="16"/>
    </row>
    <row r="325">
      <c r="A325" s="16"/>
      <c r="B325" s="16"/>
      <c r="C325" s="16"/>
      <c r="D325" s="16"/>
    </row>
    <row r="326">
      <c r="A326" s="16"/>
      <c r="B326" s="16"/>
      <c r="C326" s="16"/>
      <c r="D326" s="16"/>
    </row>
    <row r="327">
      <c r="A327" s="16"/>
      <c r="B327" s="16"/>
      <c r="C327" s="16"/>
      <c r="D327" s="16"/>
    </row>
    <row r="328">
      <c r="A328" s="16"/>
      <c r="B328" s="16"/>
      <c r="C328" s="16"/>
      <c r="D328" s="16"/>
    </row>
    <row r="329">
      <c r="A329" s="16"/>
      <c r="B329" s="16"/>
      <c r="C329" s="16"/>
      <c r="D329" s="16"/>
    </row>
    <row r="330">
      <c r="A330" s="16"/>
      <c r="B330" s="16"/>
      <c r="C330" s="16"/>
      <c r="D330" s="16"/>
    </row>
    <row r="331">
      <c r="A331" s="16"/>
      <c r="B331" s="16"/>
      <c r="C331" s="16"/>
      <c r="D331" s="16"/>
    </row>
    <row r="332">
      <c r="A332" s="16"/>
      <c r="B332" s="16"/>
      <c r="C332" s="16"/>
      <c r="D332" s="16"/>
    </row>
    <row r="333">
      <c r="A333" s="16"/>
      <c r="B333" s="16"/>
      <c r="C333" s="16"/>
      <c r="D333" s="16"/>
    </row>
    <row r="334">
      <c r="A334" s="16"/>
      <c r="B334" s="16"/>
      <c r="C334" s="16"/>
      <c r="D334" s="16"/>
    </row>
    <row r="335">
      <c r="A335" s="16"/>
      <c r="B335" s="16"/>
      <c r="C335" s="16"/>
      <c r="D335" s="16"/>
    </row>
    <row r="336">
      <c r="A336" s="16"/>
      <c r="B336" s="16"/>
      <c r="C336" s="16"/>
      <c r="D336" s="16"/>
    </row>
    <row r="337">
      <c r="A337" s="16"/>
      <c r="B337" s="16"/>
      <c r="C337" s="16"/>
      <c r="D337" s="16"/>
    </row>
    <row r="338">
      <c r="A338" s="16"/>
      <c r="B338" s="16"/>
      <c r="C338" s="16"/>
      <c r="D338" s="16"/>
    </row>
    <row r="339">
      <c r="A339" s="16"/>
      <c r="B339" s="16"/>
      <c r="C339" s="16"/>
      <c r="D339" s="16"/>
    </row>
    <row r="340">
      <c r="A340" s="16"/>
      <c r="B340" s="16"/>
      <c r="C340" s="16"/>
      <c r="D340" s="16"/>
    </row>
    <row r="341">
      <c r="A341" s="16"/>
      <c r="B341" s="16"/>
      <c r="C341" s="16"/>
      <c r="D341" s="16"/>
    </row>
    <row r="342">
      <c r="A342" s="16"/>
      <c r="B342" s="16"/>
      <c r="C342" s="16"/>
      <c r="D342" s="16"/>
    </row>
    <row r="343">
      <c r="A343" s="16"/>
      <c r="B343" s="16"/>
      <c r="C343" s="16"/>
      <c r="D343" s="16"/>
    </row>
    <row r="344">
      <c r="A344" s="16"/>
      <c r="B344" s="16"/>
      <c r="C344" s="16"/>
      <c r="D344" s="16"/>
    </row>
    <row r="345">
      <c r="A345" s="16"/>
      <c r="B345" s="16"/>
      <c r="C345" s="16"/>
      <c r="D345" s="16"/>
    </row>
    <row r="346">
      <c r="A346" s="16"/>
      <c r="B346" s="16"/>
      <c r="C346" s="16"/>
      <c r="D346" s="16"/>
    </row>
    <row r="347">
      <c r="A347" s="16"/>
      <c r="B347" s="16"/>
      <c r="C347" s="16"/>
      <c r="D347" s="16"/>
    </row>
    <row r="348">
      <c r="A348" s="16"/>
      <c r="B348" s="16"/>
      <c r="C348" s="16"/>
      <c r="D348" s="16"/>
    </row>
    <row r="349">
      <c r="A349" s="16"/>
      <c r="B349" s="16"/>
      <c r="C349" s="16"/>
      <c r="D349" s="16"/>
    </row>
    <row r="350">
      <c r="A350" s="16"/>
      <c r="B350" s="16"/>
      <c r="C350" s="16"/>
      <c r="D350" s="16"/>
    </row>
    <row r="351">
      <c r="A351" s="16"/>
      <c r="B351" s="16"/>
      <c r="C351" s="16"/>
      <c r="D351" s="16"/>
    </row>
    <row r="352">
      <c r="A352" s="16"/>
      <c r="B352" s="16"/>
      <c r="C352" s="16"/>
      <c r="D352" s="16"/>
    </row>
    <row r="353">
      <c r="A353" s="16"/>
      <c r="B353" s="16"/>
      <c r="C353" s="16"/>
      <c r="D353" s="16"/>
    </row>
    <row r="354">
      <c r="A354" s="16"/>
      <c r="B354" s="16"/>
      <c r="C354" s="16"/>
      <c r="D354" s="16"/>
    </row>
    <row r="355">
      <c r="A355" s="16"/>
      <c r="B355" s="16"/>
      <c r="C355" s="16"/>
      <c r="D355" s="16"/>
    </row>
    <row r="356">
      <c r="A356" s="16"/>
      <c r="B356" s="16"/>
      <c r="C356" s="16"/>
      <c r="D356" s="16"/>
    </row>
    <row r="357">
      <c r="A357" s="16"/>
      <c r="B357" s="16"/>
      <c r="C357" s="16"/>
      <c r="D357" s="16"/>
    </row>
    <row r="358">
      <c r="A358" s="16"/>
      <c r="B358" s="16"/>
      <c r="C358" s="16"/>
      <c r="D358" s="16"/>
    </row>
    <row r="359">
      <c r="A359" s="16"/>
      <c r="B359" s="16"/>
      <c r="C359" s="16"/>
      <c r="D359" s="16"/>
    </row>
    <row r="360">
      <c r="A360" s="16"/>
      <c r="B360" s="16"/>
      <c r="C360" s="16"/>
      <c r="D360" s="16"/>
    </row>
    <row r="361">
      <c r="A361" s="16"/>
      <c r="B361" s="16"/>
      <c r="C361" s="16"/>
      <c r="D361" s="16"/>
    </row>
    <row r="362">
      <c r="A362" s="16"/>
      <c r="B362" s="16"/>
      <c r="C362" s="16"/>
      <c r="D362" s="16"/>
    </row>
    <row r="363">
      <c r="A363" s="16"/>
      <c r="B363" s="16"/>
      <c r="C363" s="16"/>
      <c r="D363" s="16"/>
    </row>
    <row r="364">
      <c r="A364" s="16"/>
      <c r="B364" s="16"/>
      <c r="C364" s="16"/>
      <c r="D364" s="16"/>
    </row>
    <row r="365">
      <c r="A365" s="16"/>
      <c r="B365" s="16"/>
      <c r="C365" s="16"/>
      <c r="D365" s="16"/>
    </row>
    <row r="366">
      <c r="A366" s="16"/>
      <c r="B366" s="16"/>
      <c r="C366" s="16"/>
      <c r="D366" s="16"/>
    </row>
    <row r="367">
      <c r="A367" s="16"/>
      <c r="B367" s="16"/>
      <c r="C367" s="16"/>
      <c r="D367" s="16"/>
    </row>
    <row r="368">
      <c r="A368" s="16"/>
      <c r="B368" s="16"/>
      <c r="C368" s="16"/>
      <c r="D368" s="16"/>
    </row>
    <row r="369">
      <c r="A369" s="16"/>
      <c r="B369" s="16"/>
      <c r="C369" s="16"/>
      <c r="D369" s="16"/>
    </row>
    <row r="370">
      <c r="A370" s="16"/>
      <c r="B370" s="16"/>
      <c r="C370" s="16"/>
      <c r="D370" s="16"/>
    </row>
    <row r="371">
      <c r="A371" s="16"/>
      <c r="B371" s="16"/>
      <c r="C371" s="16"/>
      <c r="D371" s="16"/>
    </row>
    <row r="372">
      <c r="A372" s="16"/>
      <c r="B372" s="16"/>
      <c r="C372" s="16"/>
      <c r="D372" s="16"/>
    </row>
    <row r="373">
      <c r="A373" s="16"/>
      <c r="B373" s="16"/>
      <c r="C373" s="16"/>
      <c r="D373" s="16"/>
    </row>
    <row r="374">
      <c r="A374" s="16"/>
      <c r="B374" s="16"/>
      <c r="C374" s="16"/>
      <c r="D374" s="16"/>
    </row>
    <row r="375">
      <c r="A375" s="16"/>
      <c r="B375" s="16"/>
      <c r="C375" s="16"/>
      <c r="D375" s="16"/>
    </row>
    <row r="376">
      <c r="A376" s="16"/>
      <c r="B376" s="16"/>
      <c r="C376" s="16"/>
      <c r="D376" s="16"/>
    </row>
    <row r="377">
      <c r="A377" s="16"/>
      <c r="B377" s="16"/>
      <c r="C377" s="16"/>
      <c r="D377" s="16"/>
    </row>
    <row r="378">
      <c r="A378" s="16"/>
      <c r="B378" s="16"/>
      <c r="C378" s="16"/>
      <c r="D378" s="16"/>
    </row>
    <row r="379">
      <c r="A379" s="16"/>
      <c r="B379" s="16"/>
      <c r="C379" s="16"/>
      <c r="D379" s="16"/>
    </row>
    <row r="380">
      <c r="A380" s="16"/>
      <c r="B380" s="16"/>
      <c r="C380" s="16"/>
      <c r="D380" s="16"/>
    </row>
    <row r="381">
      <c r="A381" s="16"/>
      <c r="B381" s="16"/>
      <c r="C381" s="16"/>
      <c r="D381" s="16"/>
    </row>
    <row r="382">
      <c r="A382" s="16"/>
      <c r="B382" s="16"/>
      <c r="C382" s="16"/>
      <c r="D382" s="16"/>
    </row>
    <row r="383">
      <c r="A383" s="16"/>
      <c r="B383" s="16"/>
      <c r="C383" s="16"/>
      <c r="D383" s="16"/>
    </row>
    <row r="384">
      <c r="A384" s="16"/>
      <c r="B384" s="16"/>
      <c r="C384" s="16"/>
      <c r="D384" s="16"/>
    </row>
    <row r="385">
      <c r="A385" s="16"/>
      <c r="B385" s="16"/>
      <c r="C385" s="16"/>
      <c r="D385" s="16"/>
    </row>
    <row r="386">
      <c r="A386" s="16"/>
      <c r="B386" s="16"/>
      <c r="C386" s="16"/>
      <c r="D386" s="16"/>
    </row>
    <row r="387">
      <c r="A387" s="16"/>
      <c r="B387" s="16"/>
      <c r="C387" s="16"/>
      <c r="D387" s="16"/>
    </row>
    <row r="388">
      <c r="A388" s="16"/>
      <c r="B388" s="16"/>
      <c r="C388" s="16"/>
      <c r="D388" s="16"/>
    </row>
    <row r="389">
      <c r="A389" s="16"/>
      <c r="B389" s="16"/>
      <c r="C389" s="16"/>
      <c r="D389" s="16"/>
    </row>
    <row r="390">
      <c r="A390" s="16"/>
      <c r="B390" s="16"/>
      <c r="C390" s="16"/>
      <c r="D390" s="16"/>
    </row>
    <row r="391">
      <c r="A391" s="16"/>
      <c r="B391" s="16"/>
      <c r="C391" s="16"/>
      <c r="D391" s="16"/>
    </row>
    <row r="392">
      <c r="A392" s="16"/>
      <c r="B392" s="16"/>
      <c r="C392" s="16"/>
      <c r="D392" s="16"/>
    </row>
    <row r="393">
      <c r="A393" s="16"/>
      <c r="B393" s="16"/>
      <c r="C393" s="16"/>
      <c r="D393" s="16"/>
    </row>
    <row r="394">
      <c r="A394" s="16"/>
      <c r="B394" s="16"/>
      <c r="C394" s="16"/>
      <c r="D394" s="16"/>
    </row>
    <row r="395">
      <c r="A395" s="16"/>
      <c r="B395" s="16"/>
      <c r="C395" s="16"/>
      <c r="D395" s="16"/>
    </row>
    <row r="396">
      <c r="A396" s="16"/>
      <c r="B396" s="16"/>
      <c r="C396" s="16"/>
      <c r="D396" s="16"/>
    </row>
    <row r="397">
      <c r="A397" s="16"/>
      <c r="B397" s="16"/>
      <c r="C397" s="16"/>
      <c r="D397" s="16"/>
    </row>
    <row r="398">
      <c r="A398" s="16"/>
      <c r="B398" s="16"/>
      <c r="C398" s="16"/>
      <c r="D398" s="16"/>
    </row>
    <row r="399">
      <c r="A399" s="16"/>
      <c r="B399" s="16"/>
      <c r="C399" s="16"/>
      <c r="D399" s="16"/>
    </row>
    <row r="400">
      <c r="A400" s="16"/>
      <c r="B400" s="16"/>
      <c r="C400" s="16"/>
      <c r="D400" s="16"/>
    </row>
    <row r="401">
      <c r="A401" s="16"/>
      <c r="B401" s="16"/>
      <c r="C401" s="16"/>
      <c r="D401" s="16"/>
    </row>
    <row r="402">
      <c r="A402" s="16"/>
      <c r="B402" s="16"/>
      <c r="C402" s="16"/>
      <c r="D402" s="16"/>
    </row>
    <row r="403">
      <c r="A403" s="16"/>
      <c r="B403" s="16"/>
      <c r="C403" s="16"/>
      <c r="D403" s="16"/>
    </row>
    <row r="404">
      <c r="A404" s="16"/>
      <c r="B404" s="16"/>
      <c r="C404" s="16"/>
      <c r="D404" s="16"/>
    </row>
    <row r="405">
      <c r="A405" s="16"/>
      <c r="B405" s="16"/>
      <c r="C405" s="16"/>
      <c r="D405" s="16"/>
    </row>
    <row r="406">
      <c r="A406" s="16"/>
      <c r="B406" s="16"/>
      <c r="C406" s="16"/>
      <c r="D406" s="16"/>
    </row>
    <row r="407">
      <c r="A407" s="16"/>
      <c r="B407" s="16"/>
      <c r="C407" s="16"/>
      <c r="D407" s="16"/>
    </row>
    <row r="408">
      <c r="A408" s="16"/>
      <c r="B408" s="16"/>
      <c r="C408" s="16"/>
      <c r="D408" s="16"/>
    </row>
    <row r="409">
      <c r="A409" s="16"/>
      <c r="B409" s="16"/>
      <c r="C409" s="16"/>
      <c r="D409" s="16"/>
    </row>
    <row r="410">
      <c r="A410" s="16"/>
      <c r="B410" s="16"/>
      <c r="C410" s="16"/>
      <c r="D410" s="16"/>
    </row>
    <row r="411">
      <c r="A411" s="16"/>
      <c r="B411" s="16"/>
      <c r="C411" s="16"/>
      <c r="D411" s="16"/>
    </row>
    <row r="412">
      <c r="A412" s="16"/>
      <c r="B412" s="16"/>
      <c r="C412" s="16"/>
      <c r="D412" s="16"/>
    </row>
    <row r="413">
      <c r="A413" s="16"/>
      <c r="B413" s="16"/>
      <c r="C413" s="16"/>
      <c r="D413" s="16"/>
    </row>
    <row r="414">
      <c r="A414" s="16"/>
      <c r="B414" s="16"/>
      <c r="C414" s="16"/>
      <c r="D414" s="16"/>
    </row>
    <row r="415">
      <c r="A415" s="16"/>
      <c r="B415" s="16"/>
      <c r="C415" s="16"/>
      <c r="D415" s="16"/>
    </row>
    <row r="416">
      <c r="A416" s="16"/>
      <c r="B416" s="16"/>
      <c r="C416" s="16"/>
      <c r="D416" s="16"/>
    </row>
    <row r="417">
      <c r="A417" s="16"/>
      <c r="B417" s="16"/>
      <c r="C417" s="16"/>
      <c r="D417" s="16"/>
    </row>
    <row r="418">
      <c r="A418" s="16"/>
      <c r="B418" s="16"/>
      <c r="C418" s="16"/>
      <c r="D418" s="16"/>
    </row>
    <row r="419">
      <c r="A419" s="16"/>
      <c r="B419" s="16"/>
      <c r="C419" s="16"/>
      <c r="D419" s="16"/>
    </row>
    <row r="420">
      <c r="A420" s="16"/>
      <c r="B420" s="16"/>
      <c r="C420" s="16"/>
      <c r="D420" s="16"/>
    </row>
    <row r="421">
      <c r="A421" s="16"/>
      <c r="B421" s="16"/>
      <c r="C421" s="16"/>
      <c r="D421" s="16"/>
    </row>
    <row r="422">
      <c r="A422" s="16"/>
      <c r="B422" s="16"/>
      <c r="C422" s="16"/>
      <c r="D422" s="16"/>
    </row>
    <row r="423">
      <c r="A423" s="16"/>
      <c r="B423" s="16"/>
      <c r="C423" s="16"/>
      <c r="D423" s="16"/>
    </row>
    <row r="424">
      <c r="A424" s="16"/>
      <c r="B424" s="16"/>
      <c r="C424" s="16"/>
      <c r="D424" s="16"/>
    </row>
    <row r="425">
      <c r="A425" s="16"/>
      <c r="B425" s="16"/>
      <c r="C425" s="16"/>
      <c r="D425" s="16"/>
    </row>
    <row r="426">
      <c r="A426" s="16"/>
      <c r="B426" s="16"/>
      <c r="C426" s="16"/>
      <c r="D426" s="16"/>
    </row>
    <row r="427">
      <c r="A427" s="16"/>
      <c r="B427" s="16"/>
      <c r="C427" s="16"/>
      <c r="D427" s="16"/>
    </row>
    <row r="428">
      <c r="A428" s="16"/>
      <c r="B428" s="16"/>
      <c r="C428" s="16"/>
      <c r="D428" s="16"/>
    </row>
    <row r="429">
      <c r="A429" s="16"/>
      <c r="B429" s="16"/>
      <c r="C429" s="16"/>
      <c r="D429" s="16"/>
    </row>
    <row r="430">
      <c r="A430" s="16"/>
      <c r="B430" s="16"/>
      <c r="C430" s="16"/>
      <c r="D430" s="16"/>
    </row>
    <row r="431">
      <c r="A431" s="16"/>
      <c r="B431" s="16"/>
      <c r="C431" s="16"/>
      <c r="D431" s="16"/>
    </row>
    <row r="432">
      <c r="A432" s="16"/>
      <c r="B432" s="16"/>
      <c r="C432" s="16"/>
      <c r="D432" s="16"/>
    </row>
    <row r="433">
      <c r="A433" s="16"/>
      <c r="B433" s="16"/>
      <c r="C433" s="16"/>
      <c r="D433" s="16"/>
    </row>
    <row r="434">
      <c r="A434" s="16"/>
      <c r="B434" s="16"/>
      <c r="C434" s="16"/>
      <c r="D434" s="16"/>
    </row>
    <row r="435">
      <c r="A435" s="16"/>
      <c r="B435" s="16"/>
      <c r="C435" s="16"/>
      <c r="D435" s="16"/>
    </row>
    <row r="436">
      <c r="A436" s="16"/>
      <c r="B436" s="16"/>
      <c r="C436" s="16"/>
      <c r="D436" s="16"/>
    </row>
    <row r="437">
      <c r="A437" s="16"/>
      <c r="B437" s="16"/>
      <c r="C437" s="16"/>
      <c r="D437" s="16"/>
    </row>
    <row r="438">
      <c r="A438" s="16"/>
      <c r="B438" s="16"/>
      <c r="C438" s="16"/>
      <c r="D438" s="16"/>
    </row>
    <row r="439">
      <c r="A439" s="16"/>
      <c r="B439" s="16"/>
      <c r="C439" s="16"/>
      <c r="D439" s="16"/>
    </row>
    <row r="440">
      <c r="A440" s="16"/>
      <c r="B440" s="16"/>
      <c r="C440" s="16"/>
      <c r="D440" s="16"/>
    </row>
    <row r="441">
      <c r="A441" s="16"/>
      <c r="B441" s="16"/>
      <c r="C441" s="16"/>
      <c r="D441" s="16"/>
    </row>
    <row r="442">
      <c r="A442" s="16"/>
      <c r="B442" s="16"/>
      <c r="C442" s="16"/>
      <c r="D442" s="16"/>
    </row>
    <row r="443">
      <c r="A443" s="16"/>
      <c r="B443" s="16"/>
      <c r="C443" s="16"/>
      <c r="D443" s="16"/>
    </row>
    <row r="444">
      <c r="A444" s="16"/>
      <c r="B444" s="16"/>
      <c r="C444" s="16"/>
      <c r="D444" s="16"/>
    </row>
    <row r="445">
      <c r="A445" s="16"/>
      <c r="B445" s="16"/>
      <c r="C445" s="16"/>
      <c r="D445" s="16"/>
    </row>
    <row r="446">
      <c r="A446" s="16"/>
      <c r="B446" s="16"/>
      <c r="C446" s="16"/>
      <c r="D446" s="16"/>
    </row>
    <row r="447">
      <c r="A447" s="16"/>
      <c r="B447" s="16"/>
      <c r="C447" s="16"/>
      <c r="D447" s="16"/>
    </row>
    <row r="448">
      <c r="A448" s="16"/>
      <c r="B448" s="16"/>
      <c r="C448" s="16"/>
      <c r="D448" s="16"/>
    </row>
    <row r="449">
      <c r="A449" s="16"/>
      <c r="B449" s="16"/>
      <c r="C449" s="16"/>
      <c r="D449" s="16"/>
    </row>
    <row r="450">
      <c r="A450" s="16"/>
      <c r="B450" s="16"/>
      <c r="C450" s="16"/>
      <c r="D450" s="16"/>
    </row>
    <row r="451">
      <c r="A451" s="16"/>
      <c r="B451" s="16"/>
      <c r="C451" s="16"/>
      <c r="D451" s="16"/>
    </row>
    <row r="452">
      <c r="A452" s="16"/>
      <c r="B452" s="16"/>
      <c r="C452" s="16"/>
      <c r="D452" s="16"/>
    </row>
    <row r="453">
      <c r="A453" s="16"/>
      <c r="B453" s="16"/>
      <c r="C453" s="16"/>
      <c r="D453" s="16"/>
    </row>
    <row r="454">
      <c r="A454" s="16"/>
      <c r="B454" s="16"/>
      <c r="C454" s="16"/>
      <c r="D454" s="16"/>
    </row>
    <row r="455">
      <c r="A455" s="16"/>
      <c r="B455" s="16"/>
      <c r="C455" s="16"/>
      <c r="D455" s="16"/>
    </row>
    <row r="456">
      <c r="A456" s="16"/>
      <c r="B456" s="16"/>
      <c r="C456" s="16"/>
      <c r="D456" s="16"/>
    </row>
    <row r="457">
      <c r="A457" s="16"/>
      <c r="B457" s="16"/>
      <c r="C457" s="16"/>
      <c r="D457" s="16"/>
    </row>
    <row r="458">
      <c r="A458" s="16"/>
      <c r="B458" s="16"/>
      <c r="C458" s="16"/>
      <c r="D458" s="16"/>
    </row>
    <row r="459">
      <c r="A459" s="16"/>
      <c r="B459" s="16"/>
      <c r="C459" s="16"/>
      <c r="D459" s="16"/>
    </row>
    <row r="460">
      <c r="A460" s="16"/>
      <c r="B460" s="16"/>
      <c r="C460" s="16"/>
      <c r="D460" s="16"/>
    </row>
    <row r="461">
      <c r="A461" s="16"/>
      <c r="B461" s="16"/>
      <c r="C461" s="16"/>
      <c r="D461" s="16"/>
    </row>
    <row r="462">
      <c r="A462" s="16"/>
      <c r="B462" s="16"/>
      <c r="C462" s="16"/>
      <c r="D462" s="16"/>
    </row>
    <row r="463">
      <c r="A463" s="16"/>
      <c r="B463" s="16"/>
      <c r="C463" s="16"/>
      <c r="D463" s="16"/>
    </row>
    <row r="464">
      <c r="A464" s="16"/>
      <c r="B464" s="16"/>
      <c r="C464" s="16"/>
      <c r="D464" s="16"/>
    </row>
    <row r="465">
      <c r="A465" s="16"/>
      <c r="B465" s="16"/>
      <c r="C465" s="16"/>
      <c r="D465" s="16"/>
    </row>
    <row r="466">
      <c r="A466" s="16"/>
      <c r="B466" s="16"/>
      <c r="C466" s="16"/>
      <c r="D466" s="16"/>
    </row>
    <row r="467">
      <c r="A467" s="16"/>
      <c r="B467" s="16"/>
      <c r="C467" s="16"/>
      <c r="D467" s="16"/>
    </row>
    <row r="468">
      <c r="A468" s="16"/>
      <c r="B468" s="16"/>
      <c r="C468" s="16"/>
      <c r="D468" s="16"/>
    </row>
    <row r="469">
      <c r="A469" s="16"/>
      <c r="B469" s="16"/>
      <c r="C469" s="16"/>
      <c r="D469" s="16"/>
    </row>
    <row r="470">
      <c r="A470" s="16"/>
      <c r="B470" s="16"/>
      <c r="C470" s="16"/>
      <c r="D470" s="16"/>
    </row>
    <row r="471">
      <c r="A471" s="16"/>
      <c r="B471" s="16"/>
      <c r="C471" s="16"/>
      <c r="D471" s="16"/>
    </row>
    <row r="472">
      <c r="A472" s="16"/>
      <c r="B472" s="16"/>
      <c r="C472" s="16"/>
      <c r="D472" s="16"/>
    </row>
    <row r="473">
      <c r="A473" s="16"/>
      <c r="B473" s="16"/>
      <c r="C473" s="16"/>
      <c r="D473" s="16"/>
    </row>
    <row r="474">
      <c r="A474" s="16"/>
      <c r="B474" s="16"/>
      <c r="C474" s="16"/>
      <c r="D474" s="16"/>
    </row>
    <row r="475">
      <c r="A475" s="16"/>
      <c r="B475" s="16"/>
      <c r="C475" s="16"/>
      <c r="D475" s="16"/>
    </row>
    <row r="476">
      <c r="A476" s="16"/>
      <c r="B476" s="16"/>
      <c r="C476" s="16"/>
      <c r="D476" s="16"/>
    </row>
    <row r="477">
      <c r="A477" s="16"/>
      <c r="B477" s="16"/>
      <c r="C477" s="16"/>
      <c r="D477" s="16"/>
    </row>
    <row r="478">
      <c r="A478" s="16"/>
      <c r="B478" s="16"/>
      <c r="C478" s="16"/>
      <c r="D478" s="16"/>
    </row>
    <row r="479">
      <c r="A479" s="16"/>
      <c r="B479" s="16"/>
      <c r="C479" s="16"/>
      <c r="D479" s="16"/>
    </row>
    <row r="480">
      <c r="A480" s="16"/>
      <c r="B480" s="16"/>
      <c r="C480" s="16"/>
      <c r="D480" s="16"/>
    </row>
    <row r="481">
      <c r="A481" s="16"/>
      <c r="B481" s="16"/>
      <c r="C481" s="16"/>
      <c r="D481" s="16"/>
    </row>
    <row r="482">
      <c r="A482" s="16"/>
      <c r="B482" s="16"/>
      <c r="C482" s="16"/>
      <c r="D482" s="16"/>
    </row>
    <row r="483">
      <c r="A483" s="16"/>
      <c r="B483" s="16"/>
      <c r="C483" s="16"/>
      <c r="D483" s="16"/>
    </row>
    <row r="484">
      <c r="A484" s="16"/>
      <c r="B484" s="16"/>
      <c r="C484" s="16"/>
      <c r="D484" s="16"/>
    </row>
    <row r="485">
      <c r="A485" s="16"/>
      <c r="B485" s="16"/>
      <c r="C485" s="16"/>
      <c r="D485" s="16"/>
    </row>
    <row r="486">
      <c r="A486" s="16"/>
      <c r="B486" s="16"/>
      <c r="C486" s="16"/>
      <c r="D486" s="16"/>
    </row>
    <row r="487">
      <c r="A487" s="16"/>
      <c r="B487" s="16"/>
      <c r="C487" s="16"/>
      <c r="D487" s="16"/>
    </row>
    <row r="488">
      <c r="A488" s="16"/>
      <c r="B488" s="16"/>
      <c r="C488" s="16"/>
      <c r="D488" s="16"/>
    </row>
    <row r="489">
      <c r="A489" s="16"/>
      <c r="B489" s="16"/>
      <c r="C489" s="16"/>
      <c r="D489" s="16"/>
    </row>
    <row r="490">
      <c r="A490" s="16"/>
      <c r="B490" s="16"/>
      <c r="C490" s="16"/>
      <c r="D490" s="16"/>
    </row>
    <row r="491">
      <c r="A491" s="16"/>
      <c r="B491" s="16"/>
      <c r="C491" s="16"/>
      <c r="D491" s="16"/>
    </row>
    <row r="492">
      <c r="A492" s="16"/>
      <c r="B492" s="16"/>
      <c r="C492" s="16"/>
      <c r="D492" s="16"/>
    </row>
    <row r="493">
      <c r="A493" s="16"/>
      <c r="B493" s="16"/>
      <c r="C493" s="16"/>
      <c r="D493" s="16"/>
    </row>
    <row r="494">
      <c r="A494" s="16"/>
      <c r="B494" s="16"/>
      <c r="C494" s="16"/>
      <c r="D494" s="16"/>
    </row>
    <row r="495">
      <c r="A495" s="16"/>
      <c r="B495" s="16"/>
      <c r="C495" s="16"/>
      <c r="D495" s="16"/>
    </row>
    <row r="496">
      <c r="A496" s="16"/>
      <c r="B496" s="16"/>
      <c r="C496" s="16"/>
      <c r="D496" s="16"/>
    </row>
    <row r="497">
      <c r="A497" s="16"/>
      <c r="B497" s="16"/>
      <c r="C497" s="16"/>
      <c r="D497" s="16"/>
    </row>
    <row r="498">
      <c r="A498" s="16"/>
      <c r="B498" s="16"/>
      <c r="C498" s="16"/>
      <c r="D498" s="16"/>
    </row>
    <row r="499">
      <c r="A499" s="16"/>
      <c r="B499" s="16"/>
      <c r="C499" s="16"/>
      <c r="D499" s="16"/>
    </row>
    <row r="500">
      <c r="A500" s="16"/>
      <c r="B500" s="16"/>
      <c r="C500" s="16"/>
      <c r="D500" s="16"/>
    </row>
    <row r="501">
      <c r="A501" s="16"/>
      <c r="B501" s="16"/>
      <c r="C501" s="16"/>
      <c r="D501" s="16"/>
    </row>
    <row r="502">
      <c r="A502" s="16"/>
      <c r="B502" s="16"/>
      <c r="C502" s="16"/>
      <c r="D502" s="16"/>
    </row>
    <row r="503">
      <c r="A503" s="16"/>
      <c r="B503" s="16"/>
      <c r="C503" s="16"/>
      <c r="D503" s="16"/>
    </row>
    <row r="504">
      <c r="A504" s="16"/>
      <c r="B504" s="16"/>
      <c r="C504" s="16"/>
      <c r="D504" s="16"/>
    </row>
    <row r="505">
      <c r="A505" s="16"/>
      <c r="B505" s="16"/>
      <c r="C505" s="16"/>
      <c r="D505" s="16"/>
    </row>
    <row r="506">
      <c r="A506" s="16"/>
      <c r="B506" s="16"/>
      <c r="C506" s="16"/>
      <c r="D506" s="16"/>
    </row>
    <row r="507">
      <c r="A507" s="16"/>
      <c r="B507" s="16"/>
      <c r="C507" s="16"/>
      <c r="D507" s="16"/>
    </row>
    <row r="508">
      <c r="A508" s="16"/>
      <c r="B508" s="16"/>
      <c r="C508" s="16"/>
      <c r="D508" s="16"/>
    </row>
    <row r="509">
      <c r="A509" s="16"/>
      <c r="B509" s="16"/>
      <c r="C509" s="16"/>
      <c r="D509" s="16"/>
    </row>
    <row r="510">
      <c r="A510" s="16"/>
      <c r="B510" s="16"/>
      <c r="C510" s="16"/>
      <c r="D510" s="16"/>
    </row>
    <row r="511">
      <c r="A511" s="16"/>
      <c r="B511" s="16"/>
      <c r="C511" s="16"/>
      <c r="D511" s="16"/>
    </row>
    <row r="512">
      <c r="A512" s="16"/>
      <c r="B512" s="16"/>
      <c r="C512" s="16"/>
      <c r="D512" s="16"/>
    </row>
    <row r="513">
      <c r="A513" s="16"/>
      <c r="B513" s="16"/>
      <c r="C513" s="16"/>
      <c r="D513" s="16"/>
    </row>
    <row r="514">
      <c r="A514" s="16"/>
      <c r="B514" s="16"/>
      <c r="C514" s="16"/>
      <c r="D514" s="16"/>
    </row>
    <row r="515">
      <c r="A515" s="16"/>
      <c r="B515" s="16"/>
      <c r="C515" s="16"/>
      <c r="D515" s="16"/>
    </row>
    <row r="516">
      <c r="A516" s="16"/>
      <c r="B516" s="16"/>
      <c r="C516" s="16"/>
      <c r="D516" s="16"/>
    </row>
    <row r="517">
      <c r="A517" s="16"/>
      <c r="B517" s="16"/>
      <c r="C517" s="16"/>
      <c r="D517" s="16"/>
    </row>
    <row r="518">
      <c r="A518" s="16"/>
      <c r="B518" s="16"/>
      <c r="C518" s="16"/>
      <c r="D518" s="16"/>
    </row>
    <row r="519">
      <c r="A519" s="16"/>
      <c r="B519" s="16"/>
      <c r="C519" s="16"/>
      <c r="D519" s="16"/>
    </row>
    <row r="520">
      <c r="A520" s="16"/>
      <c r="B520" s="16"/>
      <c r="C520" s="16"/>
      <c r="D520" s="16"/>
    </row>
    <row r="521">
      <c r="A521" s="16"/>
      <c r="B521" s="16"/>
      <c r="C521" s="16"/>
      <c r="D521" s="16"/>
    </row>
    <row r="522">
      <c r="A522" s="16"/>
      <c r="B522" s="16"/>
      <c r="C522" s="16"/>
      <c r="D522" s="16"/>
    </row>
    <row r="523">
      <c r="A523" s="16"/>
      <c r="B523" s="16"/>
      <c r="C523" s="16"/>
      <c r="D523" s="16"/>
    </row>
    <row r="524">
      <c r="A524" s="16"/>
      <c r="B524" s="16"/>
      <c r="C524" s="16"/>
      <c r="D524" s="16"/>
    </row>
    <row r="525">
      <c r="A525" s="16"/>
      <c r="B525" s="16"/>
      <c r="C525" s="16"/>
      <c r="D525" s="16"/>
    </row>
    <row r="526">
      <c r="A526" s="16"/>
      <c r="B526" s="16"/>
      <c r="C526" s="16"/>
      <c r="D526" s="16"/>
    </row>
    <row r="527">
      <c r="A527" s="16"/>
      <c r="B527" s="16"/>
      <c r="C527" s="16"/>
      <c r="D527" s="16"/>
    </row>
    <row r="528">
      <c r="A528" s="16"/>
      <c r="B528" s="16"/>
      <c r="C528" s="16"/>
      <c r="D528" s="16"/>
    </row>
    <row r="529">
      <c r="A529" s="16"/>
      <c r="B529" s="16"/>
      <c r="C529" s="16"/>
      <c r="D529" s="16"/>
    </row>
    <row r="530">
      <c r="A530" s="16"/>
      <c r="B530" s="16"/>
      <c r="C530" s="16"/>
      <c r="D530" s="16"/>
    </row>
    <row r="531">
      <c r="A531" s="16"/>
      <c r="B531" s="16"/>
      <c r="C531" s="16"/>
      <c r="D531" s="16"/>
    </row>
    <row r="532">
      <c r="A532" s="16"/>
      <c r="B532" s="16"/>
      <c r="C532" s="16"/>
      <c r="D532" s="16"/>
    </row>
    <row r="533">
      <c r="A533" s="16"/>
      <c r="B533" s="16"/>
      <c r="C533" s="16"/>
      <c r="D533" s="16"/>
    </row>
    <row r="534">
      <c r="A534" s="16"/>
      <c r="B534" s="16"/>
      <c r="C534" s="16"/>
      <c r="D534" s="16"/>
    </row>
    <row r="535">
      <c r="A535" s="16"/>
      <c r="B535" s="16"/>
      <c r="C535" s="16"/>
      <c r="D535" s="16"/>
    </row>
    <row r="536">
      <c r="A536" s="16"/>
      <c r="B536" s="16"/>
      <c r="C536" s="16"/>
      <c r="D536" s="16"/>
    </row>
    <row r="537">
      <c r="A537" s="16"/>
      <c r="B537" s="16"/>
      <c r="C537" s="16"/>
      <c r="D537" s="16"/>
    </row>
    <row r="538">
      <c r="A538" s="16"/>
      <c r="B538" s="16"/>
      <c r="C538" s="16"/>
      <c r="D538" s="16"/>
    </row>
    <row r="539">
      <c r="A539" s="16"/>
      <c r="B539" s="16"/>
      <c r="C539" s="16"/>
      <c r="D539" s="16"/>
    </row>
    <row r="540">
      <c r="A540" s="16"/>
      <c r="B540" s="16"/>
      <c r="C540" s="16"/>
      <c r="D540" s="16"/>
    </row>
    <row r="541">
      <c r="A541" s="16"/>
      <c r="B541" s="16"/>
      <c r="C541" s="16"/>
      <c r="D541" s="16"/>
    </row>
    <row r="542">
      <c r="A542" s="16"/>
      <c r="B542" s="16"/>
      <c r="C542" s="16"/>
      <c r="D542" s="16"/>
    </row>
    <row r="543">
      <c r="A543" s="16"/>
      <c r="B543" s="16"/>
      <c r="C543" s="16"/>
      <c r="D543" s="16"/>
    </row>
    <row r="544">
      <c r="A544" s="16"/>
      <c r="B544" s="16"/>
      <c r="C544" s="16"/>
      <c r="D544" s="16"/>
    </row>
    <row r="545">
      <c r="A545" s="16"/>
      <c r="B545" s="16"/>
      <c r="C545" s="16"/>
      <c r="D545" s="16"/>
    </row>
    <row r="546">
      <c r="A546" s="16"/>
      <c r="B546" s="16"/>
      <c r="C546" s="16"/>
      <c r="D546" s="16"/>
    </row>
    <row r="547">
      <c r="A547" s="16"/>
      <c r="B547" s="16"/>
      <c r="C547" s="16"/>
      <c r="D547" s="16"/>
    </row>
    <row r="548">
      <c r="A548" s="16"/>
      <c r="B548" s="16"/>
      <c r="C548" s="16"/>
      <c r="D548" s="16"/>
    </row>
    <row r="549">
      <c r="A549" s="16"/>
      <c r="B549" s="16"/>
      <c r="C549" s="16"/>
      <c r="D549" s="16"/>
    </row>
    <row r="550">
      <c r="A550" s="16"/>
      <c r="B550" s="16"/>
      <c r="C550" s="16"/>
      <c r="D550" s="16"/>
    </row>
    <row r="551">
      <c r="A551" s="16"/>
      <c r="B551" s="16"/>
      <c r="C551" s="16"/>
      <c r="D551" s="16"/>
    </row>
    <row r="552">
      <c r="A552" s="16"/>
      <c r="B552" s="16"/>
      <c r="C552" s="16"/>
      <c r="D552" s="16"/>
    </row>
    <row r="553">
      <c r="A553" s="16"/>
      <c r="B553" s="16"/>
      <c r="C553" s="16"/>
      <c r="D553" s="16"/>
    </row>
    <row r="554">
      <c r="A554" s="16"/>
      <c r="B554" s="16"/>
      <c r="C554" s="16"/>
      <c r="D554" s="16"/>
    </row>
    <row r="555">
      <c r="A555" s="16"/>
      <c r="B555" s="16"/>
      <c r="C555" s="16"/>
      <c r="D555" s="16"/>
    </row>
    <row r="556">
      <c r="A556" s="16"/>
      <c r="B556" s="16"/>
      <c r="C556" s="16"/>
      <c r="D556" s="16"/>
    </row>
    <row r="557">
      <c r="A557" s="16"/>
      <c r="B557" s="16"/>
      <c r="C557" s="16"/>
      <c r="D557" s="16"/>
    </row>
    <row r="558">
      <c r="A558" s="16"/>
      <c r="B558" s="16"/>
      <c r="C558" s="16"/>
      <c r="D558" s="16"/>
    </row>
    <row r="559">
      <c r="A559" s="16"/>
      <c r="B559" s="16"/>
      <c r="C559" s="16"/>
      <c r="D559" s="16"/>
    </row>
    <row r="560">
      <c r="A560" s="16"/>
      <c r="B560" s="16"/>
      <c r="C560" s="16"/>
      <c r="D560" s="16"/>
    </row>
    <row r="561">
      <c r="A561" s="16"/>
      <c r="B561" s="16"/>
      <c r="C561" s="16"/>
      <c r="D561" s="16"/>
    </row>
    <row r="562">
      <c r="A562" s="16"/>
      <c r="B562" s="16"/>
      <c r="C562" s="16"/>
      <c r="D562" s="16"/>
    </row>
    <row r="563">
      <c r="A563" s="16"/>
      <c r="B563" s="16"/>
      <c r="C563" s="16"/>
      <c r="D563" s="16"/>
    </row>
    <row r="564">
      <c r="A564" s="16"/>
      <c r="B564" s="16"/>
      <c r="C564" s="16"/>
      <c r="D564" s="16"/>
    </row>
    <row r="565">
      <c r="A565" s="16"/>
      <c r="B565" s="16"/>
      <c r="C565" s="16"/>
      <c r="D565" s="16"/>
    </row>
    <row r="566">
      <c r="A566" s="16"/>
      <c r="B566" s="16"/>
      <c r="C566" s="16"/>
      <c r="D566" s="16"/>
    </row>
    <row r="567">
      <c r="A567" s="16"/>
      <c r="B567" s="16"/>
      <c r="C567" s="16"/>
      <c r="D567" s="16"/>
    </row>
    <row r="568">
      <c r="A568" s="16"/>
      <c r="B568" s="16"/>
      <c r="C568" s="16"/>
      <c r="D568" s="16"/>
    </row>
    <row r="569">
      <c r="A569" s="16"/>
      <c r="B569" s="16"/>
      <c r="C569" s="16"/>
      <c r="D569" s="16"/>
    </row>
    <row r="570">
      <c r="A570" s="16"/>
      <c r="B570" s="16"/>
      <c r="C570" s="16"/>
      <c r="D570" s="16"/>
    </row>
    <row r="571">
      <c r="A571" s="16"/>
      <c r="B571" s="16"/>
      <c r="C571" s="16"/>
      <c r="D571" s="16"/>
    </row>
    <row r="572">
      <c r="A572" s="16"/>
      <c r="B572" s="16"/>
      <c r="C572" s="16"/>
      <c r="D572" s="16"/>
    </row>
    <row r="573">
      <c r="A573" s="16"/>
      <c r="B573" s="16"/>
      <c r="C573" s="16"/>
      <c r="D573" s="16"/>
    </row>
    <row r="574">
      <c r="A574" s="16"/>
      <c r="B574" s="16"/>
      <c r="C574" s="16"/>
      <c r="D574" s="16"/>
    </row>
    <row r="575">
      <c r="A575" s="16"/>
      <c r="B575" s="16"/>
      <c r="C575" s="16"/>
      <c r="D575" s="16"/>
    </row>
    <row r="576">
      <c r="A576" s="16"/>
      <c r="B576" s="16"/>
      <c r="C576" s="16"/>
      <c r="D576" s="16"/>
    </row>
    <row r="577">
      <c r="A577" s="16"/>
      <c r="B577" s="16"/>
      <c r="C577" s="16"/>
      <c r="D577" s="16"/>
    </row>
    <row r="578">
      <c r="A578" s="16"/>
      <c r="B578" s="16"/>
      <c r="C578" s="16"/>
      <c r="D578" s="16"/>
    </row>
    <row r="579">
      <c r="A579" s="16"/>
      <c r="B579" s="16"/>
      <c r="C579" s="16"/>
      <c r="D579" s="16"/>
    </row>
    <row r="580">
      <c r="A580" s="16"/>
      <c r="B580" s="16"/>
      <c r="C580" s="16"/>
      <c r="D580" s="16"/>
    </row>
    <row r="581">
      <c r="A581" s="16"/>
      <c r="B581" s="16"/>
      <c r="C581" s="16"/>
      <c r="D581" s="16"/>
    </row>
    <row r="582">
      <c r="A582" s="16"/>
      <c r="B582" s="16"/>
      <c r="C582" s="16"/>
      <c r="D582" s="16"/>
    </row>
    <row r="583">
      <c r="A583" s="16"/>
      <c r="B583" s="16"/>
      <c r="C583" s="16"/>
      <c r="D583" s="16"/>
    </row>
    <row r="584">
      <c r="A584" s="16"/>
      <c r="B584" s="16"/>
      <c r="C584" s="16"/>
      <c r="D584" s="16"/>
    </row>
    <row r="585">
      <c r="A585" s="16"/>
      <c r="B585" s="16"/>
      <c r="C585" s="16"/>
      <c r="D585" s="16"/>
    </row>
    <row r="586">
      <c r="A586" s="16"/>
      <c r="B586" s="16"/>
      <c r="C586" s="16"/>
      <c r="D586" s="16"/>
    </row>
    <row r="587">
      <c r="A587" s="16"/>
      <c r="B587" s="16"/>
      <c r="C587" s="16"/>
      <c r="D587" s="16"/>
    </row>
    <row r="588">
      <c r="A588" s="16"/>
      <c r="B588" s="16"/>
      <c r="C588" s="16"/>
      <c r="D588" s="16"/>
    </row>
    <row r="589">
      <c r="A589" s="16"/>
      <c r="B589" s="16"/>
      <c r="C589" s="16"/>
      <c r="D589" s="16"/>
    </row>
    <row r="590">
      <c r="A590" s="16"/>
      <c r="B590" s="16"/>
      <c r="C590" s="16"/>
      <c r="D590" s="16"/>
    </row>
    <row r="591">
      <c r="A591" s="16"/>
      <c r="B591" s="16"/>
      <c r="C591" s="16"/>
      <c r="D591" s="16"/>
    </row>
    <row r="592">
      <c r="A592" s="16"/>
      <c r="B592" s="16"/>
      <c r="C592" s="16"/>
      <c r="D592" s="16"/>
    </row>
    <row r="593">
      <c r="A593" s="16"/>
      <c r="B593" s="16"/>
      <c r="C593" s="16"/>
      <c r="D593" s="16"/>
    </row>
    <row r="594">
      <c r="A594" s="16"/>
      <c r="B594" s="16"/>
      <c r="C594" s="16"/>
      <c r="D594" s="16"/>
    </row>
    <row r="595">
      <c r="A595" s="16"/>
      <c r="B595" s="16"/>
      <c r="C595" s="16"/>
      <c r="D595" s="16"/>
    </row>
    <row r="596">
      <c r="A596" s="16"/>
      <c r="B596" s="16"/>
      <c r="C596" s="16"/>
      <c r="D596" s="16"/>
    </row>
    <row r="597">
      <c r="A597" s="16"/>
      <c r="B597" s="16"/>
      <c r="C597" s="16"/>
      <c r="D597" s="16"/>
    </row>
    <row r="598">
      <c r="A598" s="16"/>
      <c r="B598" s="16"/>
      <c r="C598" s="16"/>
      <c r="D598" s="16"/>
    </row>
    <row r="599">
      <c r="A599" s="16"/>
      <c r="B599" s="16"/>
      <c r="C599" s="16"/>
      <c r="D599" s="16"/>
    </row>
    <row r="600">
      <c r="A600" s="16"/>
      <c r="B600" s="16"/>
      <c r="C600" s="16"/>
      <c r="D600" s="16"/>
    </row>
    <row r="601">
      <c r="A601" s="16"/>
      <c r="B601" s="16"/>
      <c r="C601" s="16"/>
      <c r="D601" s="16"/>
    </row>
    <row r="602">
      <c r="A602" s="16"/>
      <c r="B602" s="16"/>
      <c r="C602" s="16"/>
      <c r="D602" s="16"/>
    </row>
    <row r="603">
      <c r="A603" s="16"/>
      <c r="B603" s="16"/>
      <c r="C603" s="16"/>
      <c r="D603" s="16"/>
    </row>
    <row r="604">
      <c r="A604" s="16"/>
      <c r="B604" s="16"/>
      <c r="C604" s="16"/>
      <c r="D604" s="16"/>
    </row>
    <row r="605">
      <c r="A605" s="16"/>
      <c r="B605" s="16"/>
      <c r="C605" s="16"/>
      <c r="D605" s="16"/>
    </row>
    <row r="606">
      <c r="A606" s="16"/>
      <c r="B606" s="16"/>
      <c r="C606" s="16"/>
      <c r="D606" s="16"/>
    </row>
    <row r="607">
      <c r="A607" s="16"/>
      <c r="B607" s="16"/>
      <c r="C607" s="16"/>
      <c r="D607" s="16"/>
    </row>
    <row r="608">
      <c r="A608" s="16"/>
      <c r="B608" s="16"/>
      <c r="C608" s="16"/>
      <c r="D608" s="16"/>
    </row>
    <row r="609">
      <c r="A609" s="16"/>
      <c r="B609" s="16"/>
      <c r="C609" s="16"/>
      <c r="D609" s="16"/>
    </row>
    <row r="610">
      <c r="A610" s="16"/>
      <c r="B610" s="16"/>
      <c r="C610" s="16"/>
      <c r="D610" s="16"/>
    </row>
    <row r="611">
      <c r="A611" s="16"/>
      <c r="B611" s="16"/>
      <c r="C611" s="16"/>
      <c r="D611" s="16"/>
    </row>
    <row r="612">
      <c r="A612" s="16"/>
      <c r="B612" s="16"/>
      <c r="C612" s="16"/>
      <c r="D612" s="16"/>
    </row>
    <row r="613">
      <c r="A613" s="16"/>
      <c r="B613" s="16"/>
      <c r="C613" s="16"/>
      <c r="D613" s="16"/>
    </row>
    <row r="614">
      <c r="A614" s="16"/>
      <c r="B614" s="16"/>
      <c r="C614" s="16"/>
      <c r="D614" s="16"/>
    </row>
    <row r="615">
      <c r="A615" s="16"/>
      <c r="B615" s="16"/>
      <c r="C615" s="16"/>
      <c r="D615" s="16"/>
    </row>
    <row r="616">
      <c r="A616" s="16"/>
      <c r="B616" s="16"/>
      <c r="C616" s="16"/>
      <c r="D616" s="16"/>
    </row>
    <row r="617">
      <c r="A617" s="16"/>
      <c r="B617" s="16"/>
      <c r="C617" s="16"/>
      <c r="D617" s="16"/>
    </row>
    <row r="618">
      <c r="A618" s="16"/>
      <c r="B618" s="16"/>
      <c r="C618" s="16"/>
      <c r="D618" s="16"/>
    </row>
    <row r="619">
      <c r="A619" s="16"/>
      <c r="B619" s="16"/>
      <c r="C619" s="16"/>
      <c r="D619" s="16"/>
    </row>
    <row r="620">
      <c r="A620" s="16"/>
      <c r="B620" s="16"/>
      <c r="C620" s="16"/>
      <c r="D620" s="16"/>
    </row>
    <row r="621">
      <c r="A621" s="16"/>
      <c r="B621" s="16"/>
      <c r="C621" s="16"/>
      <c r="D621" s="16"/>
    </row>
    <row r="622">
      <c r="A622" s="16"/>
      <c r="B622" s="16"/>
      <c r="C622" s="16"/>
      <c r="D622" s="16"/>
    </row>
    <row r="623">
      <c r="A623" s="16"/>
      <c r="B623" s="16"/>
      <c r="C623" s="16"/>
      <c r="D623" s="16"/>
    </row>
    <row r="624">
      <c r="A624" s="16"/>
      <c r="B624" s="16"/>
      <c r="C624" s="16"/>
      <c r="D624" s="16"/>
    </row>
    <row r="625">
      <c r="A625" s="16"/>
      <c r="B625" s="16"/>
      <c r="C625" s="16"/>
      <c r="D625" s="16"/>
    </row>
    <row r="626">
      <c r="A626" s="16"/>
      <c r="B626" s="16"/>
      <c r="C626" s="16"/>
      <c r="D626" s="16"/>
    </row>
    <row r="627">
      <c r="A627" s="16"/>
      <c r="B627" s="16"/>
      <c r="C627" s="16"/>
      <c r="D627" s="16"/>
    </row>
    <row r="628">
      <c r="A628" s="16"/>
      <c r="B628" s="16"/>
      <c r="C628" s="16"/>
      <c r="D628" s="16"/>
    </row>
    <row r="629">
      <c r="A629" s="16"/>
      <c r="B629" s="16"/>
      <c r="C629" s="16"/>
      <c r="D629" s="16"/>
    </row>
    <row r="630">
      <c r="A630" s="16"/>
      <c r="B630" s="16"/>
      <c r="C630" s="16"/>
      <c r="D630" s="16"/>
    </row>
    <row r="631">
      <c r="A631" s="16"/>
      <c r="B631" s="16"/>
      <c r="C631" s="16"/>
      <c r="D631" s="16"/>
    </row>
    <row r="632">
      <c r="A632" s="16"/>
      <c r="B632" s="16"/>
      <c r="C632" s="16"/>
      <c r="D632" s="16"/>
    </row>
    <row r="633">
      <c r="A633" s="16"/>
      <c r="B633" s="16"/>
      <c r="C633" s="16"/>
      <c r="D633" s="16"/>
    </row>
    <row r="634">
      <c r="A634" s="16"/>
      <c r="B634" s="16"/>
      <c r="C634" s="16"/>
      <c r="D634" s="16"/>
    </row>
    <row r="635">
      <c r="A635" s="16"/>
      <c r="B635" s="16"/>
      <c r="C635" s="16"/>
      <c r="D635" s="16"/>
    </row>
    <row r="636">
      <c r="A636" s="16"/>
      <c r="B636" s="16"/>
      <c r="C636" s="16"/>
      <c r="D636" s="16"/>
    </row>
    <row r="637">
      <c r="A637" s="16"/>
      <c r="B637" s="16"/>
      <c r="C637" s="16"/>
      <c r="D637" s="16"/>
    </row>
    <row r="638">
      <c r="A638" s="16"/>
      <c r="B638" s="16"/>
      <c r="C638" s="16"/>
      <c r="D638" s="16"/>
    </row>
    <row r="639">
      <c r="A639" s="16"/>
      <c r="B639" s="16"/>
      <c r="C639" s="16"/>
      <c r="D639" s="16"/>
    </row>
    <row r="640">
      <c r="A640" s="16"/>
      <c r="B640" s="16"/>
      <c r="C640" s="16"/>
      <c r="D640" s="16"/>
    </row>
    <row r="641">
      <c r="A641" s="16"/>
      <c r="B641" s="16"/>
      <c r="C641" s="16"/>
      <c r="D641" s="16"/>
    </row>
    <row r="642">
      <c r="A642" s="16"/>
      <c r="B642" s="16"/>
      <c r="C642" s="16"/>
      <c r="D642" s="16"/>
    </row>
    <row r="643">
      <c r="A643" s="16"/>
      <c r="B643" s="16"/>
      <c r="C643" s="16"/>
      <c r="D643" s="16"/>
    </row>
    <row r="644">
      <c r="A644" s="16"/>
      <c r="B644" s="16"/>
      <c r="C644" s="16"/>
      <c r="D644" s="16"/>
    </row>
    <row r="645">
      <c r="A645" s="16"/>
      <c r="B645" s="16"/>
      <c r="C645" s="16"/>
      <c r="D645" s="16"/>
    </row>
    <row r="646">
      <c r="A646" s="16"/>
      <c r="B646" s="16"/>
      <c r="C646" s="16"/>
      <c r="D646" s="16"/>
    </row>
    <row r="647">
      <c r="A647" s="16"/>
      <c r="B647" s="16"/>
      <c r="C647" s="16"/>
      <c r="D647" s="16"/>
    </row>
    <row r="648">
      <c r="A648" s="16"/>
      <c r="B648" s="16"/>
      <c r="C648" s="16"/>
      <c r="D648" s="16"/>
    </row>
    <row r="649">
      <c r="A649" s="16"/>
      <c r="B649" s="16"/>
      <c r="C649" s="16"/>
      <c r="D649" s="16"/>
    </row>
    <row r="650">
      <c r="A650" s="16"/>
      <c r="B650" s="16"/>
      <c r="C650" s="16"/>
      <c r="D650" s="16"/>
    </row>
    <row r="651">
      <c r="A651" s="16"/>
      <c r="B651" s="16"/>
      <c r="C651" s="16"/>
      <c r="D651" s="16"/>
    </row>
    <row r="652">
      <c r="A652" s="16"/>
      <c r="B652" s="16"/>
      <c r="C652" s="16"/>
      <c r="D652" s="16"/>
    </row>
    <row r="653">
      <c r="A653" s="16"/>
      <c r="B653" s="16"/>
      <c r="C653" s="16"/>
      <c r="D653" s="16"/>
    </row>
    <row r="654">
      <c r="A654" s="16"/>
      <c r="B654" s="16"/>
      <c r="C654" s="16"/>
      <c r="D654" s="16"/>
    </row>
    <row r="655">
      <c r="A655" s="16"/>
      <c r="B655" s="16"/>
      <c r="C655" s="16"/>
      <c r="D655" s="16"/>
    </row>
    <row r="656">
      <c r="A656" s="16"/>
      <c r="B656" s="16"/>
      <c r="C656" s="16"/>
      <c r="D656" s="16"/>
    </row>
    <row r="657">
      <c r="A657" s="16"/>
      <c r="B657" s="16"/>
      <c r="C657" s="16"/>
      <c r="D657" s="16"/>
    </row>
    <row r="658">
      <c r="A658" s="16"/>
      <c r="B658" s="16"/>
      <c r="C658" s="16"/>
      <c r="D658" s="16"/>
    </row>
    <row r="659">
      <c r="A659" s="16"/>
      <c r="B659" s="16"/>
      <c r="C659" s="16"/>
      <c r="D659" s="16"/>
    </row>
    <row r="660">
      <c r="A660" s="16"/>
      <c r="B660" s="16"/>
      <c r="C660" s="16"/>
      <c r="D660" s="16"/>
    </row>
    <row r="661">
      <c r="A661" s="16"/>
      <c r="B661" s="16"/>
      <c r="C661" s="16"/>
      <c r="D661" s="16"/>
    </row>
    <row r="662">
      <c r="A662" s="16"/>
      <c r="B662" s="16"/>
      <c r="C662" s="16"/>
      <c r="D662" s="16"/>
    </row>
    <row r="663">
      <c r="A663" s="16"/>
      <c r="B663" s="16"/>
      <c r="C663" s="16"/>
      <c r="D663" s="16"/>
    </row>
    <row r="664">
      <c r="A664" s="16"/>
      <c r="B664" s="16"/>
      <c r="C664" s="16"/>
      <c r="D664" s="16"/>
    </row>
    <row r="665">
      <c r="A665" s="16"/>
      <c r="B665" s="16"/>
      <c r="C665" s="16"/>
      <c r="D665" s="16"/>
    </row>
    <row r="666">
      <c r="A666" s="16"/>
      <c r="B666" s="16"/>
      <c r="C666" s="16"/>
      <c r="D666" s="16"/>
    </row>
    <row r="667">
      <c r="A667" s="16"/>
      <c r="B667" s="16"/>
      <c r="C667" s="16"/>
      <c r="D667" s="16"/>
    </row>
    <row r="668">
      <c r="A668" s="16"/>
      <c r="B668" s="16"/>
      <c r="C668" s="16"/>
      <c r="D668" s="16"/>
    </row>
    <row r="669">
      <c r="A669" s="16"/>
      <c r="B669" s="16"/>
      <c r="C669" s="16"/>
      <c r="D669" s="16"/>
    </row>
    <row r="670">
      <c r="A670" s="16"/>
      <c r="B670" s="16"/>
      <c r="C670" s="16"/>
      <c r="D670" s="16"/>
    </row>
    <row r="671">
      <c r="A671" s="16"/>
      <c r="B671" s="16"/>
      <c r="C671" s="16"/>
      <c r="D671" s="16"/>
    </row>
    <row r="672">
      <c r="A672" s="16"/>
      <c r="B672" s="16"/>
      <c r="C672" s="16"/>
      <c r="D672" s="16"/>
    </row>
    <row r="673">
      <c r="A673" s="16"/>
      <c r="B673" s="16"/>
      <c r="C673" s="16"/>
      <c r="D673" s="16"/>
    </row>
    <row r="674">
      <c r="A674" s="16"/>
      <c r="B674" s="16"/>
      <c r="C674" s="16"/>
      <c r="D674" s="16"/>
    </row>
    <row r="675">
      <c r="A675" s="16"/>
      <c r="B675" s="16"/>
      <c r="C675" s="16"/>
      <c r="D675" s="16"/>
    </row>
    <row r="676">
      <c r="A676" s="16"/>
      <c r="B676" s="16"/>
      <c r="C676" s="16"/>
      <c r="D676" s="16"/>
    </row>
    <row r="677">
      <c r="A677" s="16"/>
      <c r="B677" s="16"/>
      <c r="C677" s="16"/>
      <c r="D677" s="16"/>
    </row>
    <row r="678">
      <c r="A678" s="16"/>
      <c r="B678" s="16"/>
      <c r="C678" s="16"/>
      <c r="D678" s="16"/>
    </row>
    <row r="679">
      <c r="A679" s="16"/>
      <c r="B679" s="16"/>
      <c r="C679" s="16"/>
      <c r="D679" s="16"/>
    </row>
    <row r="680">
      <c r="A680" s="16"/>
      <c r="B680" s="16"/>
      <c r="C680" s="16"/>
      <c r="D680" s="16"/>
    </row>
    <row r="681">
      <c r="A681" s="16"/>
      <c r="B681" s="16"/>
      <c r="C681" s="16"/>
      <c r="D681" s="16"/>
    </row>
    <row r="682">
      <c r="A682" s="16"/>
      <c r="B682" s="16"/>
      <c r="C682" s="16"/>
      <c r="D682" s="16"/>
    </row>
    <row r="683">
      <c r="A683" s="16"/>
      <c r="B683" s="16"/>
      <c r="C683" s="16"/>
      <c r="D683" s="16"/>
    </row>
    <row r="684">
      <c r="A684" s="16"/>
      <c r="B684" s="16"/>
      <c r="C684" s="16"/>
      <c r="D684" s="16"/>
    </row>
    <row r="685">
      <c r="A685" s="16"/>
      <c r="B685" s="16"/>
      <c r="C685" s="16"/>
      <c r="D685" s="16"/>
    </row>
    <row r="686">
      <c r="A686" s="16"/>
      <c r="B686" s="16"/>
      <c r="C686" s="16"/>
      <c r="D686" s="16"/>
    </row>
    <row r="687">
      <c r="A687" s="16"/>
      <c r="B687" s="16"/>
      <c r="C687" s="16"/>
      <c r="D687" s="16"/>
    </row>
    <row r="688">
      <c r="A688" s="16"/>
      <c r="B688" s="16"/>
      <c r="C688" s="16"/>
      <c r="D688" s="16"/>
    </row>
    <row r="689">
      <c r="A689" s="16"/>
      <c r="B689" s="16"/>
      <c r="C689" s="16"/>
      <c r="D689" s="16"/>
    </row>
    <row r="690">
      <c r="A690" s="16"/>
      <c r="B690" s="16"/>
      <c r="C690" s="16"/>
      <c r="D690" s="16"/>
    </row>
    <row r="691">
      <c r="A691" s="16"/>
      <c r="B691" s="16"/>
      <c r="C691" s="16"/>
      <c r="D691" s="16"/>
    </row>
    <row r="692">
      <c r="A692" s="16"/>
      <c r="B692" s="16"/>
      <c r="C692" s="16"/>
      <c r="D692" s="16"/>
    </row>
    <row r="693">
      <c r="A693" s="16"/>
      <c r="B693" s="16"/>
      <c r="C693" s="16"/>
      <c r="D693" s="16"/>
    </row>
    <row r="694">
      <c r="A694" s="16"/>
      <c r="B694" s="16"/>
      <c r="C694" s="16"/>
      <c r="D694" s="16"/>
    </row>
    <row r="695">
      <c r="A695" s="16"/>
      <c r="B695" s="16"/>
      <c r="C695" s="16"/>
      <c r="D695" s="16"/>
    </row>
    <row r="696">
      <c r="A696" s="16"/>
      <c r="B696" s="16"/>
      <c r="C696" s="16"/>
      <c r="D696" s="16"/>
    </row>
    <row r="697">
      <c r="A697" s="16"/>
      <c r="B697" s="16"/>
      <c r="C697" s="16"/>
      <c r="D697" s="16"/>
    </row>
    <row r="698">
      <c r="A698" s="16"/>
      <c r="B698" s="16"/>
      <c r="C698" s="16"/>
      <c r="D698" s="16"/>
    </row>
    <row r="699">
      <c r="A699" s="16"/>
      <c r="B699" s="16"/>
      <c r="C699" s="16"/>
      <c r="D699" s="16"/>
    </row>
    <row r="700">
      <c r="A700" s="16"/>
      <c r="B700" s="16"/>
      <c r="C700" s="16"/>
      <c r="D700" s="16"/>
    </row>
    <row r="701">
      <c r="A701" s="16"/>
      <c r="B701" s="16"/>
      <c r="C701" s="16"/>
      <c r="D701" s="16"/>
    </row>
    <row r="702">
      <c r="A702" s="16"/>
      <c r="B702" s="16"/>
      <c r="C702" s="16"/>
      <c r="D702" s="16"/>
    </row>
    <row r="703">
      <c r="A703" s="16"/>
      <c r="B703" s="16"/>
      <c r="C703" s="16"/>
      <c r="D703" s="16"/>
    </row>
    <row r="704">
      <c r="A704" s="16"/>
      <c r="B704" s="16"/>
      <c r="C704" s="16"/>
      <c r="D704" s="16"/>
    </row>
    <row r="705">
      <c r="A705" s="16"/>
      <c r="B705" s="16"/>
      <c r="C705" s="16"/>
      <c r="D705" s="16"/>
    </row>
    <row r="706">
      <c r="A706" s="16"/>
      <c r="B706" s="16"/>
      <c r="C706" s="16"/>
      <c r="D706" s="16"/>
    </row>
    <row r="707">
      <c r="A707" s="16"/>
      <c r="B707" s="16"/>
      <c r="C707" s="16"/>
      <c r="D707" s="16"/>
    </row>
    <row r="708">
      <c r="A708" s="16"/>
      <c r="B708" s="16"/>
      <c r="C708" s="16"/>
      <c r="D708" s="16"/>
    </row>
    <row r="709">
      <c r="A709" s="16"/>
      <c r="B709" s="16"/>
      <c r="C709" s="16"/>
      <c r="D709" s="16"/>
    </row>
    <row r="710">
      <c r="A710" s="16"/>
      <c r="B710" s="16"/>
      <c r="C710" s="16"/>
      <c r="D710" s="16"/>
    </row>
    <row r="711">
      <c r="A711" s="16"/>
      <c r="B711" s="16"/>
      <c r="C711" s="16"/>
      <c r="D711" s="16"/>
    </row>
    <row r="712">
      <c r="A712" s="16"/>
      <c r="B712" s="16"/>
      <c r="C712" s="16"/>
      <c r="D712" s="16"/>
    </row>
    <row r="713">
      <c r="A713" s="16"/>
      <c r="B713" s="16"/>
      <c r="C713" s="16"/>
      <c r="D713" s="16"/>
    </row>
    <row r="714">
      <c r="A714" s="16"/>
      <c r="B714" s="16"/>
      <c r="C714" s="16"/>
      <c r="D714" s="16"/>
    </row>
    <row r="715">
      <c r="A715" s="16"/>
      <c r="B715" s="16"/>
      <c r="C715" s="16"/>
      <c r="D715" s="16"/>
    </row>
    <row r="716">
      <c r="A716" s="16"/>
      <c r="B716" s="16"/>
      <c r="C716" s="16"/>
      <c r="D716" s="16"/>
    </row>
    <row r="717">
      <c r="A717" s="16"/>
      <c r="B717" s="16"/>
      <c r="C717" s="16"/>
      <c r="D717" s="16"/>
    </row>
    <row r="718">
      <c r="A718" s="16"/>
      <c r="B718" s="16"/>
      <c r="C718" s="16"/>
      <c r="D718" s="16"/>
    </row>
    <row r="719">
      <c r="A719" s="16"/>
      <c r="B719" s="16"/>
      <c r="C719" s="16"/>
      <c r="D719" s="16"/>
    </row>
    <row r="720">
      <c r="A720" s="16"/>
      <c r="B720" s="16"/>
      <c r="C720" s="16"/>
      <c r="D720" s="16"/>
    </row>
    <row r="721">
      <c r="A721" s="16"/>
      <c r="B721" s="16"/>
      <c r="C721" s="16"/>
      <c r="D721" s="16"/>
    </row>
    <row r="722">
      <c r="A722" s="16"/>
      <c r="B722" s="16"/>
      <c r="C722" s="16"/>
      <c r="D722" s="16"/>
    </row>
    <row r="723">
      <c r="A723" s="16"/>
      <c r="B723" s="16"/>
      <c r="C723" s="16"/>
      <c r="D723" s="16"/>
    </row>
    <row r="724">
      <c r="A724" s="16"/>
      <c r="B724" s="16"/>
      <c r="C724" s="16"/>
      <c r="D724" s="16"/>
    </row>
    <row r="725">
      <c r="A725" s="16"/>
      <c r="B725" s="16"/>
      <c r="C725" s="16"/>
      <c r="D725" s="16"/>
    </row>
    <row r="726">
      <c r="A726" s="16"/>
      <c r="B726" s="16"/>
      <c r="C726" s="16"/>
      <c r="D726" s="16"/>
    </row>
    <row r="727">
      <c r="A727" s="16"/>
      <c r="B727" s="16"/>
      <c r="C727" s="16"/>
      <c r="D727" s="16"/>
    </row>
    <row r="728">
      <c r="A728" s="16"/>
      <c r="B728" s="16"/>
      <c r="C728" s="16"/>
      <c r="D728" s="16"/>
    </row>
    <row r="729">
      <c r="A729" s="16"/>
      <c r="B729" s="16"/>
      <c r="C729" s="16"/>
      <c r="D729" s="16"/>
    </row>
    <row r="730">
      <c r="A730" s="16"/>
      <c r="B730" s="16"/>
      <c r="C730" s="16"/>
      <c r="D730" s="16"/>
    </row>
    <row r="731">
      <c r="A731" s="16"/>
      <c r="B731" s="16"/>
      <c r="C731" s="16"/>
      <c r="D731" s="16"/>
    </row>
    <row r="732">
      <c r="A732" s="16"/>
      <c r="B732" s="16"/>
      <c r="C732" s="16"/>
      <c r="D732" s="16"/>
    </row>
    <row r="733">
      <c r="A733" s="16"/>
      <c r="B733" s="16"/>
      <c r="C733" s="16"/>
      <c r="D733" s="16"/>
    </row>
    <row r="734">
      <c r="A734" s="16"/>
      <c r="B734" s="16"/>
      <c r="C734" s="16"/>
      <c r="D734" s="16"/>
    </row>
    <row r="735">
      <c r="A735" s="16"/>
      <c r="B735" s="16"/>
      <c r="C735" s="16"/>
      <c r="D735" s="16"/>
    </row>
    <row r="736">
      <c r="A736" s="16"/>
      <c r="B736" s="16"/>
      <c r="C736" s="16"/>
      <c r="D736" s="16"/>
    </row>
    <row r="737">
      <c r="A737" s="16"/>
      <c r="B737" s="16"/>
      <c r="C737" s="16"/>
      <c r="D737" s="16"/>
    </row>
    <row r="738">
      <c r="A738" s="16"/>
      <c r="B738" s="16"/>
      <c r="C738" s="16"/>
      <c r="D738" s="16"/>
    </row>
    <row r="739">
      <c r="A739" s="16"/>
      <c r="B739" s="16"/>
      <c r="C739" s="16"/>
      <c r="D739" s="16"/>
    </row>
    <row r="740">
      <c r="A740" s="16"/>
      <c r="B740" s="16"/>
      <c r="C740" s="16"/>
      <c r="D740" s="16"/>
    </row>
    <row r="741">
      <c r="A741" s="16"/>
      <c r="B741" s="16"/>
      <c r="C741" s="16"/>
      <c r="D741" s="16"/>
    </row>
    <row r="742">
      <c r="A742" s="16"/>
      <c r="B742" s="16"/>
      <c r="C742" s="16"/>
      <c r="D742" s="16"/>
    </row>
    <row r="743">
      <c r="A743" s="16"/>
      <c r="B743" s="16"/>
      <c r="C743" s="16"/>
      <c r="D743" s="16"/>
    </row>
    <row r="744">
      <c r="A744" s="16"/>
      <c r="B744" s="16"/>
      <c r="C744" s="16"/>
      <c r="D744" s="16"/>
    </row>
    <row r="745">
      <c r="A745" s="16"/>
      <c r="B745" s="16"/>
      <c r="C745" s="16"/>
      <c r="D745" s="16"/>
    </row>
    <row r="746">
      <c r="A746" s="16"/>
      <c r="B746" s="16"/>
      <c r="C746" s="16"/>
      <c r="D746" s="16"/>
    </row>
    <row r="747">
      <c r="A747" s="16"/>
      <c r="B747" s="16"/>
      <c r="C747" s="16"/>
      <c r="D747" s="16"/>
    </row>
    <row r="748">
      <c r="A748" s="16"/>
      <c r="B748" s="16"/>
      <c r="C748" s="16"/>
      <c r="D748" s="16"/>
    </row>
    <row r="749">
      <c r="A749" s="16"/>
      <c r="B749" s="16"/>
      <c r="C749" s="16"/>
      <c r="D749" s="16"/>
    </row>
    <row r="750">
      <c r="A750" s="16"/>
      <c r="B750" s="16"/>
      <c r="C750" s="16"/>
      <c r="D750" s="16"/>
    </row>
    <row r="751">
      <c r="A751" s="16"/>
      <c r="B751" s="16"/>
      <c r="C751" s="16"/>
      <c r="D751" s="16"/>
    </row>
    <row r="752">
      <c r="A752" s="16"/>
      <c r="B752" s="16"/>
      <c r="C752" s="16"/>
      <c r="D752" s="16"/>
    </row>
    <row r="753">
      <c r="A753" s="16"/>
      <c r="B753" s="16"/>
      <c r="C753" s="16"/>
      <c r="D753" s="16"/>
    </row>
    <row r="754">
      <c r="A754" s="16"/>
      <c r="B754" s="16"/>
      <c r="C754" s="16"/>
      <c r="D754" s="16"/>
    </row>
    <row r="755">
      <c r="A755" s="16"/>
      <c r="B755" s="16"/>
      <c r="C755" s="16"/>
      <c r="D755" s="16"/>
    </row>
    <row r="756">
      <c r="A756" s="16"/>
      <c r="B756" s="16"/>
      <c r="C756" s="16"/>
      <c r="D756" s="16"/>
    </row>
    <row r="757">
      <c r="A757" s="16"/>
      <c r="B757" s="16"/>
      <c r="C757" s="16"/>
      <c r="D757" s="16"/>
    </row>
    <row r="758">
      <c r="A758" s="16"/>
      <c r="B758" s="16"/>
      <c r="C758" s="16"/>
      <c r="D758" s="16"/>
    </row>
    <row r="759">
      <c r="A759" s="16"/>
      <c r="B759" s="16"/>
      <c r="C759" s="16"/>
      <c r="D759" s="16"/>
    </row>
    <row r="760">
      <c r="A760" s="16"/>
      <c r="B760" s="16"/>
      <c r="C760" s="16"/>
      <c r="D760" s="16"/>
    </row>
    <row r="761">
      <c r="A761" s="16"/>
      <c r="B761" s="16"/>
      <c r="C761" s="16"/>
      <c r="D761" s="16"/>
    </row>
    <row r="762">
      <c r="A762" s="16"/>
      <c r="B762" s="16"/>
      <c r="C762" s="16"/>
      <c r="D762" s="16"/>
    </row>
    <row r="763">
      <c r="A763" s="16"/>
      <c r="B763" s="16"/>
      <c r="C763" s="16"/>
      <c r="D763" s="16"/>
    </row>
    <row r="764">
      <c r="A764" s="16"/>
      <c r="B764" s="16"/>
      <c r="C764" s="16"/>
      <c r="D764" s="16"/>
    </row>
    <row r="765">
      <c r="A765" s="16"/>
      <c r="B765" s="16"/>
      <c r="C765" s="16"/>
      <c r="D765" s="16"/>
    </row>
    <row r="766">
      <c r="A766" s="16"/>
      <c r="B766" s="16"/>
      <c r="C766" s="16"/>
      <c r="D766" s="16"/>
    </row>
    <row r="767">
      <c r="A767" s="16"/>
      <c r="B767" s="16"/>
      <c r="C767" s="16"/>
      <c r="D767" s="16"/>
    </row>
    <row r="768">
      <c r="A768" s="16"/>
      <c r="B768" s="16"/>
      <c r="C768" s="16"/>
      <c r="D768" s="16"/>
    </row>
    <row r="769">
      <c r="A769" s="16"/>
      <c r="B769" s="16"/>
      <c r="C769" s="16"/>
      <c r="D769" s="16"/>
    </row>
    <row r="770">
      <c r="A770" s="16"/>
      <c r="B770" s="16"/>
      <c r="C770" s="16"/>
      <c r="D770" s="16"/>
    </row>
    <row r="771">
      <c r="A771" s="16"/>
      <c r="B771" s="16"/>
      <c r="C771" s="16"/>
      <c r="D771" s="16"/>
    </row>
    <row r="772">
      <c r="A772" s="16"/>
      <c r="B772" s="16"/>
      <c r="C772" s="16"/>
      <c r="D772" s="16"/>
    </row>
    <row r="773">
      <c r="A773" s="16"/>
      <c r="B773" s="16"/>
      <c r="C773" s="16"/>
      <c r="D773" s="16"/>
    </row>
    <row r="774">
      <c r="A774" s="16"/>
      <c r="B774" s="16"/>
      <c r="C774" s="16"/>
      <c r="D774" s="16"/>
    </row>
    <row r="775">
      <c r="A775" s="16"/>
      <c r="B775" s="16"/>
      <c r="C775" s="16"/>
      <c r="D775" s="16"/>
    </row>
    <row r="776">
      <c r="A776" s="16"/>
      <c r="B776" s="16"/>
      <c r="C776" s="16"/>
      <c r="D776" s="16"/>
    </row>
    <row r="777">
      <c r="A777" s="16"/>
      <c r="B777" s="16"/>
      <c r="C777" s="16"/>
      <c r="D777" s="16"/>
    </row>
    <row r="778">
      <c r="A778" s="16"/>
      <c r="B778" s="16"/>
      <c r="C778" s="16"/>
      <c r="D778" s="16"/>
    </row>
    <row r="779">
      <c r="A779" s="16"/>
      <c r="B779" s="16"/>
      <c r="C779" s="16"/>
      <c r="D779" s="16"/>
    </row>
    <row r="780">
      <c r="A780" s="16"/>
      <c r="B780" s="16"/>
      <c r="C780" s="16"/>
      <c r="D780" s="16"/>
    </row>
    <row r="781">
      <c r="A781" s="16"/>
      <c r="B781" s="16"/>
      <c r="C781" s="16"/>
      <c r="D781" s="16"/>
    </row>
    <row r="782">
      <c r="A782" s="16"/>
      <c r="B782" s="16"/>
      <c r="C782" s="16"/>
      <c r="D782" s="16"/>
    </row>
    <row r="783">
      <c r="A783" s="16"/>
      <c r="B783" s="16"/>
      <c r="C783" s="16"/>
      <c r="D783" s="16"/>
    </row>
    <row r="784">
      <c r="A784" s="16"/>
      <c r="B784" s="16"/>
      <c r="C784" s="16"/>
      <c r="D784" s="16"/>
    </row>
    <row r="785">
      <c r="A785" s="16"/>
      <c r="B785" s="16"/>
      <c r="C785" s="16"/>
      <c r="D785" s="16"/>
    </row>
    <row r="786">
      <c r="A786" s="16"/>
      <c r="B786" s="16"/>
      <c r="C786" s="16"/>
      <c r="D786" s="16"/>
    </row>
    <row r="787">
      <c r="A787" s="16"/>
      <c r="B787" s="16"/>
      <c r="C787" s="16"/>
      <c r="D787" s="16"/>
    </row>
    <row r="788">
      <c r="A788" s="16"/>
      <c r="B788" s="16"/>
      <c r="C788" s="16"/>
      <c r="D788" s="16"/>
    </row>
    <row r="789">
      <c r="A789" s="16"/>
      <c r="B789" s="16"/>
      <c r="C789" s="16"/>
      <c r="D789" s="16"/>
    </row>
    <row r="790">
      <c r="A790" s="16"/>
      <c r="B790" s="16"/>
      <c r="C790" s="16"/>
      <c r="D790" s="16"/>
    </row>
    <row r="791">
      <c r="A791" s="16"/>
      <c r="B791" s="16"/>
      <c r="C791" s="16"/>
      <c r="D791" s="16"/>
    </row>
    <row r="792">
      <c r="A792" s="16"/>
      <c r="B792" s="16"/>
      <c r="C792" s="16"/>
      <c r="D792" s="16"/>
    </row>
    <row r="793">
      <c r="A793" s="16"/>
      <c r="B793" s="16"/>
      <c r="C793" s="16"/>
      <c r="D793" s="16"/>
    </row>
    <row r="794">
      <c r="A794" s="16"/>
      <c r="B794" s="16"/>
      <c r="C794" s="16"/>
      <c r="D794" s="16"/>
    </row>
    <row r="795">
      <c r="A795" s="16"/>
      <c r="B795" s="16"/>
      <c r="C795" s="16"/>
      <c r="D795" s="16"/>
    </row>
    <row r="796">
      <c r="A796" s="16"/>
      <c r="B796" s="16"/>
      <c r="C796" s="16"/>
      <c r="D796" s="16"/>
    </row>
    <row r="797">
      <c r="A797" s="16"/>
      <c r="B797" s="16"/>
      <c r="C797" s="16"/>
      <c r="D797" s="16"/>
    </row>
    <row r="798">
      <c r="A798" s="16"/>
      <c r="B798" s="16"/>
      <c r="C798" s="16"/>
      <c r="D798" s="16"/>
    </row>
    <row r="799">
      <c r="A799" s="16"/>
      <c r="B799" s="16"/>
      <c r="C799" s="16"/>
      <c r="D799" s="16"/>
    </row>
    <row r="800">
      <c r="A800" s="16"/>
      <c r="B800" s="16"/>
      <c r="C800" s="16"/>
      <c r="D800" s="16"/>
    </row>
    <row r="801">
      <c r="A801" s="16"/>
      <c r="B801" s="16"/>
      <c r="C801" s="16"/>
      <c r="D801" s="16"/>
    </row>
    <row r="802">
      <c r="A802" s="16"/>
      <c r="B802" s="16"/>
      <c r="C802" s="16"/>
      <c r="D802" s="16"/>
    </row>
    <row r="803">
      <c r="A803" s="16"/>
      <c r="B803" s="16"/>
      <c r="C803" s="16"/>
      <c r="D803" s="16"/>
    </row>
    <row r="804">
      <c r="A804" s="16"/>
      <c r="B804" s="16"/>
      <c r="C804" s="16"/>
      <c r="D804" s="16"/>
    </row>
    <row r="805">
      <c r="A805" s="16"/>
      <c r="B805" s="16"/>
      <c r="C805" s="16"/>
      <c r="D805" s="16"/>
    </row>
    <row r="806">
      <c r="A806" s="16"/>
      <c r="B806" s="16"/>
      <c r="C806" s="16"/>
      <c r="D806" s="16"/>
    </row>
    <row r="807">
      <c r="A807" s="16"/>
      <c r="B807" s="16"/>
      <c r="C807" s="16"/>
      <c r="D807" s="16"/>
    </row>
    <row r="808">
      <c r="A808" s="16"/>
      <c r="B808" s="16"/>
      <c r="C808" s="16"/>
      <c r="D808" s="16"/>
    </row>
    <row r="809">
      <c r="A809" s="16"/>
      <c r="B809" s="16"/>
      <c r="C809" s="16"/>
      <c r="D809" s="16"/>
    </row>
    <row r="810">
      <c r="A810" s="16"/>
      <c r="B810" s="16"/>
      <c r="C810" s="16"/>
      <c r="D810" s="16"/>
    </row>
    <row r="811">
      <c r="A811" s="16"/>
      <c r="B811" s="16"/>
      <c r="C811" s="16"/>
      <c r="D811" s="16"/>
    </row>
    <row r="812">
      <c r="A812" s="16"/>
      <c r="B812" s="16"/>
      <c r="C812" s="16"/>
      <c r="D812" s="16"/>
    </row>
    <row r="813">
      <c r="A813" s="16"/>
      <c r="B813" s="16"/>
      <c r="C813" s="16"/>
      <c r="D813" s="16"/>
    </row>
    <row r="814">
      <c r="A814" s="16"/>
      <c r="B814" s="16"/>
      <c r="C814" s="16"/>
      <c r="D814" s="16"/>
    </row>
    <row r="815">
      <c r="A815" s="16"/>
      <c r="B815" s="16"/>
      <c r="C815" s="16"/>
      <c r="D815" s="16"/>
    </row>
    <row r="816">
      <c r="A816" s="16"/>
      <c r="B816" s="16"/>
      <c r="C816" s="16"/>
      <c r="D816" s="16"/>
    </row>
    <row r="817">
      <c r="A817" s="16"/>
      <c r="B817" s="16"/>
      <c r="C817" s="16"/>
      <c r="D817" s="16"/>
    </row>
    <row r="818">
      <c r="A818" s="16"/>
      <c r="B818" s="16"/>
      <c r="C818" s="16"/>
      <c r="D818" s="16"/>
    </row>
    <row r="819">
      <c r="A819" s="16"/>
      <c r="B819" s="16"/>
      <c r="C819" s="16"/>
      <c r="D819" s="16"/>
    </row>
    <row r="820">
      <c r="A820" s="16"/>
      <c r="B820" s="16"/>
      <c r="C820" s="16"/>
      <c r="D820" s="16"/>
    </row>
    <row r="821">
      <c r="A821" s="16"/>
      <c r="B821" s="16"/>
      <c r="C821" s="16"/>
      <c r="D821" s="16"/>
    </row>
    <row r="822">
      <c r="A822" s="16"/>
      <c r="B822" s="16"/>
      <c r="C822" s="16"/>
      <c r="D822" s="16"/>
    </row>
    <row r="823">
      <c r="A823" s="16"/>
      <c r="B823" s="16"/>
      <c r="C823" s="16"/>
      <c r="D823" s="16"/>
    </row>
    <row r="824">
      <c r="A824" s="16"/>
      <c r="B824" s="16"/>
      <c r="C824" s="16"/>
      <c r="D824" s="16"/>
    </row>
    <row r="825">
      <c r="A825" s="16"/>
      <c r="B825" s="16"/>
      <c r="C825" s="16"/>
      <c r="D825" s="16"/>
    </row>
    <row r="826">
      <c r="A826" s="16"/>
      <c r="B826" s="16"/>
      <c r="C826" s="16"/>
      <c r="D826" s="16"/>
    </row>
    <row r="827">
      <c r="A827" s="16"/>
      <c r="B827" s="16"/>
      <c r="C827" s="16"/>
      <c r="D827" s="16"/>
    </row>
    <row r="828">
      <c r="A828" s="16"/>
      <c r="B828" s="16"/>
      <c r="C828" s="16"/>
      <c r="D828" s="16"/>
    </row>
    <row r="829">
      <c r="A829" s="16"/>
      <c r="B829" s="16"/>
      <c r="C829" s="16"/>
      <c r="D829" s="16"/>
    </row>
    <row r="830">
      <c r="A830" s="16"/>
      <c r="B830" s="16"/>
      <c r="C830" s="16"/>
      <c r="D830" s="16"/>
    </row>
    <row r="831">
      <c r="A831" s="16"/>
      <c r="B831" s="16"/>
      <c r="C831" s="16"/>
      <c r="D831" s="16"/>
    </row>
    <row r="832">
      <c r="A832" s="16"/>
      <c r="B832" s="16"/>
      <c r="C832" s="16"/>
      <c r="D832" s="16"/>
    </row>
    <row r="833">
      <c r="A833" s="16"/>
      <c r="B833" s="16"/>
      <c r="C833" s="16"/>
      <c r="D833" s="16"/>
    </row>
    <row r="834">
      <c r="A834" s="16"/>
      <c r="B834" s="16"/>
      <c r="C834" s="16"/>
      <c r="D834" s="16"/>
    </row>
    <row r="835">
      <c r="A835" s="16"/>
      <c r="B835" s="16"/>
      <c r="C835" s="16"/>
      <c r="D835" s="16"/>
    </row>
    <row r="836">
      <c r="A836" s="16"/>
      <c r="B836" s="16"/>
      <c r="C836" s="16"/>
      <c r="D836" s="16"/>
    </row>
    <row r="837">
      <c r="A837" s="16"/>
      <c r="B837" s="16"/>
      <c r="C837" s="16"/>
      <c r="D837" s="16"/>
    </row>
    <row r="838">
      <c r="A838" s="16"/>
      <c r="B838" s="16"/>
      <c r="C838" s="16"/>
      <c r="D838" s="16"/>
    </row>
    <row r="839">
      <c r="A839" s="16"/>
      <c r="B839" s="16"/>
      <c r="C839" s="16"/>
      <c r="D839" s="16"/>
    </row>
    <row r="840">
      <c r="A840" s="16"/>
      <c r="B840" s="16"/>
      <c r="C840" s="16"/>
      <c r="D840" s="16"/>
    </row>
    <row r="841">
      <c r="A841" s="16"/>
      <c r="B841" s="16"/>
      <c r="C841" s="16"/>
      <c r="D841" s="16"/>
    </row>
    <row r="842">
      <c r="A842" s="16"/>
      <c r="B842" s="16"/>
      <c r="C842" s="16"/>
      <c r="D842" s="16"/>
    </row>
    <row r="843">
      <c r="A843" s="16"/>
      <c r="B843" s="16"/>
      <c r="C843" s="16"/>
      <c r="D843" s="16"/>
    </row>
    <row r="844">
      <c r="A844" s="16"/>
      <c r="B844" s="16"/>
      <c r="C844" s="16"/>
      <c r="D844" s="16"/>
    </row>
    <row r="845">
      <c r="A845" s="16"/>
      <c r="B845" s="16"/>
      <c r="C845" s="16"/>
      <c r="D845" s="16"/>
    </row>
    <row r="846">
      <c r="A846" s="16"/>
      <c r="B846" s="16"/>
      <c r="C846" s="16"/>
      <c r="D846" s="16"/>
    </row>
    <row r="847">
      <c r="A847" s="16"/>
      <c r="B847" s="16"/>
      <c r="C847" s="16"/>
      <c r="D847" s="16"/>
    </row>
    <row r="848">
      <c r="A848" s="16"/>
      <c r="B848" s="16"/>
      <c r="C848" s="16"/>
      <c r="D848" s="16"/>
    </row>
    <row r="849">
      <c r="A849" s="16"/>
      <c r="B849" s="16"/>
      <c r="C849" s="16"/>
      <c r="D849" s="16"/>
    </row>
    <row r="850">
      <c r="A850" s="16"/>
      <c r="B850" s="16"/>
      <c r="C850" s="16"/>
      <c r="D850" s="16"/>
    </row>
    <row r="851">
      <c r="A851" s="16"/>
      <c r="B851" s="16"/>
      <c r="C851" s="16"/>
      <c r="D851" s="16"/>
    </row>
    <row r="852">
      <c r="A852" s="16"/>
      <c r="B852" s="16"/>
      <c r="C852" s="16"/>
      <c r="D852" s="16"/>
    </row>
    <row r="853">
      <c r="A853" s="16"/>
      <c r="B853" s="16"/>
      <c r="C853" s="16"/>
      <c r="D853" s="16"/>
    </row>
    <row r="854">
      <c r="A854" s="16"/>
      <c r="B854" s="16"/>
      <c r="C854" s="16"/>
      <c r="D854" s="16"/>
    </row>
    <row r="855">
      <c r="A855" s="16"/>
      <c r="B855" s="16"/>
      <c r="C855" s="16"/>
      <c r="D855" s="16"/>
    </row>
    <row r="856">
      <c r="A856" s="16"/>
      <c r="B856" s="16"/>
      <c r="C856" s="16"/>
      <c r="D856" s="16"/>
    </row>
    <row r="857">
      <c r="A857" s="16"/>
      <c r="B857" s="16"/>
      <c r="C857" s="16"/>
      <c r="D857" s="16"/>
    </row>
    <row r="858">
      <c r="A858" s="16"/>
      <c r="B858" s="16"/>
      <c r="C858" s="16"/>
      <c r="D858" s="16"/>
    </row>
    <row r="859">
      <c r="A859" s="16"/>
      <c r="B859" s="16"/>
      <c r="C859" s="16"/>
      <c r="D859" s="16"/>
    </row>
    <row r="860">
      <c r="A860" s="16"/>
      <c r="B860" s="16"/>
      <c r="C860" s="16"/>
      <c r="D860" s="16"/>
    </row>
    <row r="861">
      <c r="A861" s="16"/>
      <c r="B861" s="16"/>
      <c r="C861" s="16"/>
      <c r="D861" s="16"/>
    </row>
    <row r="862">
      <c r="A862" s="16"/>
      <c r="B862" s="16"/>
      <c r="C862" s="16"/>
      <c r="D862" s="16"/>
    </row>
    <row r="863">
      <c r="A863" s="16"/>
      <c r="B863" s="16"/>
      <c r="C863" s="16"/>
      <c r="D863" s="16"/>
    </row>
    <row r="864">
      <c r="A864" s="16"/>
      <c r="B864" s="16"/>
      <c r="C864" s="16"/>
      <c r="D864" s="16"/>
    </row>
    <row r="865">
      <c r="A865" s="16"/>
      <c r="B865" s="16"/>
      <c r="C865" s="16"/>
      <c r="D865" s="16"/>
    </row>
    <row r="866">
      <c r="A866" s="16"/>
      <c r="B866" s="16"/>
      <c r="C866" s="16"/>
      <c r="D866" s="16"/>
    </row>
    <row r="867">
      <c r="A867" s="16"/>
      <c r="B867" s="16"/>
      <c r="C867" s="16"/>
      <c r="D867" s="16"/>
    </row>
    <row r="868">
      <c r="A868" s="16"/>
      <c r="B868" s="16"/>
      <c r="C868" s="16"/>
      <c r="D868" s="16"/>
    </row>
    <row r="869">
      <c r="A869" s="16"/>
      <c r="B869" s="16"/>
      <c r="C869" s="16"/>
      <c r="D869" s="16"/>
    </row>
    <row r="870">
      <c r="A870" s="16"/>
      <c r="B870" s="16"/>
      <c r="C870" s="16"/>
      <c r="D870" s="16"/>
    </row>
    <row r="871">
      <c r="A871" s="16"/>
      <c r="B871" s="16"/>
      <c r="C871" s="16"/>
      <c r="D871" s="16"/>
    </row>
    <row r="872">
      <c r="A872" s="16"/>
      <c r="B872" s="16"/>
      <c r="C872" s="16"/>
      <c r="D872" s="16"/>
    </row>
    <row r="873">
      <c r="A873" s="16"/>
      <c r="B873" s="16"/>
      <c r="C873" s="16"/>
      <c r="D873" s="16"/>
    </row>
    <row r="874">
      <c r="A874" s="16"/>
      <c r="B874" s="16"/>
      <c r="C874" s="16"/>
      <c r="D874" s="16"/>
    </row>
    <row r="875">
      <c r="A875" s="16"/>
      <c r="B875" s="16"/>
      <c r="C875" s="16"/>
      <c r="D875" s="16"/>
    </row>
    <row r="876">
      <c r="A876" s="16"/>
      <c r="B876" s="16"/>
      <c r="C876" s="16"/>
      <c r="D876" s="16"/>
    </row>
    <row r="877">
      <c r="A877" s="16"/>
      <c r="B877" s="16"/>
      <c r="C877" s="16"/>
      <c r="D877" s="16"/>
    </row>
    <row r="878">
      <c r="A878" s="16"/>
      <c r="B878" s="16"/>
      <c r="C878" s="16"/>
      <c r="D878" s="16"/>
    </row>
    <row r="879">
      <c r="A879" s="16"/>
      <c r="B879" s="16"/>
      <c r="C879" s="16"/>
      <c r="D879" s="16"/>
    </row>
    <row r="880">
      <c r="A880" s="16"/>
      <c r="B880" s="16"/>
      <c r="C880" s="16"/>
      <c r="D880" s="16"/>
    </row>
    <row r="881">
      <c r="A881" s="16"/>
      <c r="B881" s="16"/>
      <c r="C881" s="16"/>
      <c r="D881" s="16"/>
    </row>
    <row r="882">
      <c r="A882" s="16"/>
      <c r="B882" s="16"/>
      <c r="C882" s="16"/>
      <c r="D882" s="16"/>
    </row>
    <row r="883">
      <c r="A883" s="16"/>
      <c r="B883" s="16"/>
      <c r="C883" s="16"/>
      <c r="D883" s="16"/>
    </row>
    <row r="884">
      <c r="A884" s="16"/>
      <c r="B884" s="16"/>
      <c r="C884" s="16"/>
      <c r="D884" s="16"/>
    </row>
    <row r="885">
      <c r="A885" s="16"/>
      <c r="B885" s="16"/>
      <c r="C885" s="16"/>
      <c r="D885" s="16"/>
    </row>
    <row r="886">
      <c r="A886" s="16"/>
      <c r="B886" s="16"/>
      <c r="C886" s="16"/>
      <c r="D886" s="16"/>
    </row>
    <row r="887">
      <c r="A887" s="16"/>
      <c r="B887" s="16"/>
      <c r="C887" s="16"/>
      <c r="D887" s="16"/>
    </row>
    <row r="888">
      <c r="A888" s="16"/>
      <c r="B888" s="16"/>
      <c r="C888" s="16"/>
      <c r="D888" s="16"/>
    </row>
    <row r="889">
      <c r="A889" s="16"/>
      <c r="B889" s="16"/>
      <c r="C889" s="16"/>
      <c r="D889" s="16"/>
    </row>
    <row r="890">
      <c r="A890" s="16"/>
      <c r="B890" s="16"/>
      <c r="C890" s="16"/>
      <c r="D890" s="16"/>
    </row>
    <row r="891">
      <c r="A891" s="16"/>
      <c r="B891" s="16"/>
      <c r="C891" s="16"/>
      <c r="D891" s="16"/>
    </row>
    <row r="892">
      <c r="A892" s="16"/>
      <c r="B892" s="16"/>
      <c r="C892" s="16"/>
      <c r="D892" s="16"/>
    </row>
    <row r="893">
      <c r="A893" s="16"/>
      <c r="B893" s="16"/>
      <c r="C893" s="16"/>
      <c r="D893" s="16"/>
    </row>
    <row r="894">
      <c r="A894" s="16"/>
      <c r="B894" s="16"/>
      <c r="C894" s="16"/>
      <c r="D894" s="16"/>
    </row>
    <row r="895">
      <c r="A895" s="16"/>
      <c r="B895" s="16"/>
      <c r="C895" s="16"/>
      <c r="D895" s="16"/>
    </row>
    <row r="896">
      <c r="A896" s="16"/>
      <c r="B896" s="16"/>
      <c r="C896" s="16"/>
      <c r="D896" s="16"/>
    </row>
    <row r="897">
      <c r="A897" s="16"/>
      <c r="B897" s="16"/>
      <c r="C897" s="16"/>
      <c r="D897" s="16"/>
    </row>
    <row r="898">
      <c r="A898" s="16"/>
      <c r="B898" s="16"/>
      <c r="C898" s="16"/>
      <c r="D898" s="16"/>
    </row>
    <row r="899">
      <c r="A899" s="16"/>
      <c r="B899" s="16"/>
      <c r="C899" s="16"/>
      <c r="D899" s="16"/>
    </row>
    <row r="900">
      <c r="A900" s="16"/>
      <c r="B900" s="16"/>
      <c r="C900" s="16"/>
      <c r="D900" s="16"/>
    </row>
    <row r="901">
      <c r="A901" s="16"/>
      <c r="B901" s="16"/>
      <c r="C901" s="16"/>
      <c r="D901" s="16"/>
    </row>
    <row r="902">
      <c r="A902" s="16"/>
      <c r="B902" s="16"/>
      <c r="C902" s="16"/>
      <c r="D902" s="16"/>
    </row>
    <row r="903">
      <c r="A903" s="16"/>
      <c r="B903" s="16"/>
      <c r="C903" s="16"/>
      <c r="D903" s="16"/>
    </row>
    <row r="904">
      <c r="A904" s="16"/>
      <c r="B904" s="16"/>
      <c r="C904" s="16"/>
      <c r="D904" s="16"/>
    </row>
    <row r="905">
      <c r="A905" s="16"/>
      <c r="B905" s="16"/>
      <c r="C905" s="16"/>
      <c r="D905" s="16"/>
    </row>
    <row r="906">
      <c r="A906" s="16"/>
      <c r="B906" s="16"/>
      <c r="C906" s="16"/>
      <c r="D906" s="16"/>
    </row>
    <row r="907">
      <c r="A907" s="16"/>
      <c r="B907" s="16"/>
      <c r="C907" s="16"/>
      <c r="D907" s="16"/>
    </row>
    <row r="908">
      <c r="A908" s="16"/>
      <c r="B908" s="16"/>
      <c r="C908" s="16"/>
      <c r="D908" s="16"/>
    </row>
    <row r="909">
      <c r="A909" s="16"/>
      <c r="B909" s="16"/>
      <c r="C909" s="16"/>
      <c r="D909" s="16"/>
    </row>
    <row r="910">
      <c r="A910" s="16"/>
      <c r="B910" s="16"/>
      <c r="C910" s="16"/>
      <c r="D910" s="16"/>
    </row>
    <row r="911">
      <c r="A911" s="16"/>
      <c r="B911" s="16"/>
      <c r="C911" s="16"/>
      <c r="D911" s="16"/>
    </row>
    <row r="912">
      <c r="A912" s="16"/>
      <c r="B912" s="16"/>
      <c r="C912" s="16"/>
      <c r="D912" s="16"/>
    </row>
    <row r="913">
      <c r="A913" s="16"/>
      <c r="B913" s="16"/>
      <c r="C913" s="16"/>
      <c r="D913" s="16"/>
    </row>
    <row r="914">
      <c r="A914" s="16"/>
      <c r="B914" s="16"/>
      <c r="C914" s="16"/>
      <c r="D914" s="16"/>
    </row>
    <row r="915">
      <c r="A915" s="16"/>
      <c r="B915" s="16"/>
      <c r="C915" s="16"/>
      <c r="D915" s="16"/>
    </row>
    <row r="916">
      <c r="A916" s="16"/>
      <c r="B916" s="16"/>
      <c r="C916" s="16"/>
      <c r="D916" s="16"/>
    </row>
    <row r="917">
      <c r="A917" s="16"/>
      <c r="B917" s="16"/>
      <c r="C917" s="16"/>
      <c r="D917" s="16"/>
    </row>
    <row r="918">
      <c r="A918" s="16"/>
      <c r="B918" s="16"/>
      <c r="C918" s="16"/>
      <c r="D918" s="16"/>
    </row>
    <row r="919">
      <c r="A919" s="16"/>
      <c r="B919" s="16"/>
      <c r="C919" s="16"/>
      <c r="D919" s="16"/>
    </row>
    <row r="920">
      <c r="A920" s="16"/>
      <c r="B920" s="16"/>
      <c r="C920" s="16"/>
      <c r="D920" s="16"/>
    </row>
    <row r="921">
      <c r="A921" s="16"/>
      <c r="B921" s="16"/>
      <c r="C921" s="16"/>
      <c r="D921" s="16"/>
    </row>
    <row r="922">
      <c r="A922" s="16"/>
      <c r="B922" s="16"/>
      <c r="C922" s="16"/>
      <c r="D922" s="16"/>
    </row>
    <row r="923">
      <c r="A923" s="16"/>
      <c r="B923" s="16"/>
      <c r="C923" s="16"/>
      <c r="D923" s="16"/>
    </row>
    <row r="924">
      <c r="A924" s="16"/>
      <c r="B924" s="16"/>
      <c r="C924" s="16"/>
      <c r="D924" s="16"/>
    </row>
    <row r="925">
      <c r="A925" s="16"/>
      <c r="B925" s="16"/>
      <c r="C925" s="16"/>
      <c r="D925" s="16"/>
    </row>
    <row r="926">
      <c r="A926" s="16"/>
      <c r="B926" s="16"/>
      <c r="C926" s="16"/>
      <c r="D926" s="16"/>
    </row>
    <row r="927">
      <c r="A927" s="16"/>
      <c r="B927" s="16"/>
      <c r="C927" s="16"/>
      <c r="D927" s="16"/>
    </row>
    <row r="928">
      <c r="A928" s="16"/>
      <c r="B928" s="16"/>
      <c r="C928" s="16"/>
      <c r="D928" s="16"/>
    </row>
    <row r="929">
      <c r="A929" s="16"/>
      <c r="B929" s="16"/>
      <c r="C929" s="16"/>
      <c r="D929" s="16"/>
    </row>
    <row r="930">
      <c r="A930" s="16"/>
      <c r="B930" s="16"/>
      <c r="C930" s="16"/>
      <c r="D930" s="16"/>
    </row>
    <row r="931">
      <c r="A931" s="16"/>
      <c r="B931" s="16"/>
      <c r="C931" s="16"/>
      <c r="D931" s="16"/>
    </row>
    <row r="932">
      <c r="A932" s="16"/>
      <c r="B932" s="16"/>
      <c r="C932" s="16"/>
      <c r="D932" s="16"/>
    </row>
    <row r="933">
      <c r="A933" s="16"/>
      <c r="B933" s="16"/>
      <c r="C933" s="16"/>
      <c r="D933" s="16"/>
    </row>
    <row r="934">
      <c r="A934" s="16"/>
      <c r="B934" s="16"/>
      <c r="C934" s="16"/>
      <c r="D934" s="16"/>
    </row>
    <row r="935">
      <c r="A935" s="16"/>
      <c r="B935" s="16"/>
      <c r="C935" s="16"/>
      <c r="D935" s="16"/>
    </row>
    <row r="936">
      <c r="A936" s="16"/>
      <c r="B936" s="16"/>
      <c r="C936" s="16"/>
      <c r="D936" s="16"/>
    </row>
    <row r="937">
      <c r="A937" s="16"/>
      <c r="B937" s="16"/>
      <c r="C937" s="16"/>
      <c r="D937" s="16"/>
    </row>
    <row r="938">
      <c r="A938" s="16"/>
      <c r="B938" s="16"/>
      <c r="C938" s="16"/>
      <c r="D938" s="16"/>
    </row>
    <row r="939">
      <c r="A939" s="16"/>
      <c r="B939" s="16"/>
      <c r="C939" s="16"/>
      <c r="D939" s="16"/>
    </row>
    <row r="940">
      <c r="A940" s="16"/>
      <c r="B940" s="16"/>
      <c r="C940" s="16"/>
      <c r="D940" s="16"/>
    </row>
    <row r="941">
      <c r="A941" s="16"/>
      <c r="B941" s="16"/>
      <c r="C941" s="16"/>
      <c r="D941" s="16"/>
    </row>
    <row r="942">
      <c r="A942" s="16"/>
      <c r="B942" s="16"/>
      <c r="C942" s="16"/>
      <c r="D942" s="16"/>
    </row>
    <row r="943">
      <c r="A943" s="16"/>
      <c r="B943" s="16"/>
      <c r="C943" s="16"/>
      <c r="D943" s="16"/>
    </row>
    <row r="944">
      <c r="A944" s="16"/>
      <c r="B944" s="16"/>
      <c r="C944" s="16"/>
      <c r="D944" s="16"/>
    </row>
    <row r="945">
      <c r="A945" s="16"/>
      <c r="B945" s="16"/>
      <c r="C945" s="16"/>
      <c r="D945" s="16"/>
    </row>
    <row r="946">
      <c r="A946" s="16"/>
      <c r="B946" s="16"/>
      <c r="C946" s="16"/>
      <c r="D946" s="16"/>
    </row>
    <row r="947">
      <c r="A947" s="16"/>
      <c r="B947" s="16"/>
      <c r="C947" s="16"/>
      <c r="D947" s="16"/>
    </row>
    <row r="948">
      <c r="A948" s="16"/>
      <c r="B948" s="16"/>
      <c r="C948" s="16"/>
      <c r="D948" s="16"/>
    </row>
    <row r="949">
      <c r="A949" s="16"/>
      <c r="B949" s="16"/>
      <c r="C949" s="16"/>
      <c r="D949" s="16"/>
    </row>
    <row r="950">
      <c r="A950" s="16"/>
      <c r="B950" s="16"/>
      <c r="C950" s="16"/>
      <c r="D950" s="16"/>
    </row>
    <row r="951">
      <c r="A951" s="16"/>
      <c r="B951" s="16"/>
      <c r="C951" s="16"/>
      <c r="D951" s="16"/>
    </row>
    <row r="952">
      <c r="A952" s="16"/>
      <c r="B952" s="16"/>
      <c r="C952" s="16"/>
      <c r="D952" s="16"/>
    </row>
    <row r="953">
      <c r="A953" s="16"/>
      <c r="B953" s="16"/>
      <c r="C953" s="16"/>
      <c r="D953" s="16"/>
    </row>
    <row r="954">
      <c r="A954" s="16"/>
      <c r="B954" s="16"/>
      <c r="C954" s="16"/>
      <c r="D954" s="16"/>
    </row>
    <row r="955">
      <c r="A955" s="16"/>
      <c r="B955" s="16"/>
      <c r="C955" s="16"/>
      <c r="D955" s="16"/>
    </row>
    <row r="956">
      <c r="A956" s="16"/>
      <c r="B956" s="16"/>
      <c r="C956" s="16"/>
      <c r="D956" s="16"/>
    </row>
    <row r="957">
      <c r="A957" s="16"/>
      <c r="B957" s="16"/>
      <c r="C957" s="16"/>
      <c r="D957" s="16"/>
    </row>
    <row r="958">
      <c r="A958" s="16"/>
      <c r="B958" s="16"/>
      <c r="C958" s="16"/>
      <c r="D958" s="16"/>
    </row>
    <row r="959">
      <c r="A959" s="16"/>
      <c r="B959" s="16"/>
      <c r="C959" s="16"/>
      <c r="D959" s="16"/>
    </row>
    <row r="960">
      <c r="A960" s="16"/>
      <c r="B960" s="16"/>
      <c r="C960" s="16"/>
      <c r="D960" s="16"/>
    </row>
    <row r="961">
      <c r="A961" s="16"/>
      <c r="B961" s="16"/>
      <c r="C961" s="16"/>
      <c r="D961" s="16"/>
    </row>
    <row r="962">
      <c r="A962" s="16"/>
      <c r="B962" s="16"/>
      <c r="C962" s="16"/>
      <c r="D962" s="16"/>
    </row>
    <row r="963">
      <c r="A963" s="16"/>
      <c r="B963" s="16"/>
      <c r="C963" s="16"/>
      <c r="D963" s="16"/>
    </row>
    <row r="964">
      <c r="A964" s="16"/>
      <c r="B964" s="16"/>
      <c r="C964" s="16"/>
      <c r="D964" s="16"/>
    </row>
    <row r="965">
      <c r="A965" s="16"/>
      <c r="B965" s="16"/>
      <c r="C965" s="16"/>
      <c r="D965" s="16"/>
    </row>
    <row r="966">
      <c r="A966" s="16"/>
      <c r="B966" s="16"/>
      <c r="C966" s="16"/>
      <c r="D966" s="16"/>
    </row>
    <row r="967">
      <c r="A967" s="16"/>
      <c r="B967" s="16"/>
      <c r="C967" s="16"/>
      <c r="D967" s="16"/>
    </row>
    <row r="968">
      <c r="A968" s="16"/>
      <c r="B968" s="16"/>
      <c r="C968" s="16"/>
      <c r="D968" s="16"/>
    </row>
    <row r="969">
      <c r="A969" s="16"/>
      <c r="B969" s="16"/>
      <c r="C969" s="16"/>
      <c r="D969" s="16"/>
    </row>
    <row r="970">
      <c r="A970" s="16"/>
      <c r="B970" s="16"/>
      <c r="C970" s="16"/>
      <c r="D970" s="16"/>
    </row>
    <row r="971">
      <c r="A971" s="16"/>
      <c r="B971" s="16"/>
      <c r="C971" s="16"/>
      <c r="D971" s="16"/>
    </row>
    <row r="972">
      <c r="A972" s="16"/>
      <c r="B972" s="16"/>
      <c r="C972" s="16"/>
      <c r="D972" s="16"/>
    </row>
    <row r="973">
      <c r="A973" s="16"/>
      <c r="B973" s="16"/>
      <c r="C973" s="16"/>
      <c r="D973" s="16"/>
    </row>
    <row r="974">
      <c r="A974" s="16"/>
      <c r="B974" s="16"/>
      <c r="C974" s="16"/>
      <c r="D974" s="16"/>
    </row>
    <row r="975">
      <c r="A975" s="16"/>
      <c r="B975" s="16"/>
      <c r="C975" s="16"/>
      <c r="D975" s="16"/>
    </row>
    <row r="976">
      <c r="A976" s="16"/>
      <c r="B976" s="16"/>
      <c r="C976" s="16"/>
      <c r="D976" s="16"/>
    </row>
    <row r="977">
      <c r="A977" s="16"/>
      <c r="B977" s="16"/>
      <c r="C977" s="16"/>
      <c r="D977" s="16"/>
    </row>
    <row r="978">
      <c r="A978" s="16"/>
      <c r="B978" s="16"/>
      <c r="C978" s="16"/>
      <c r="D978" s="16"/>
    </row>
    <row r="979">
      <c r="A979" s="16"/>
      <c r="B979" s="16"/>
      <c r="C979" s="16"/>
      <c r="D979" s="16"/>
    </row>
    <row r="980">
      <c r="A980" s="16"/>
      <c r="B980" s="16"/>
      <c r="C980" s="16"/>
      <c r="D980" s="16"/>
    </row>
    <row r="981">
      <c r="A981" s="16"/>
      <c r="B981" s="16"/>
      <c r="C981" s="16"/>
      <c r="D981" s="16"/>
    </row>
    <row r="982">
      <c r="A982" s="16"/>
      <c r="B982" s="16"/>
      <c r="C982" s="16"/>
      <c r="D982" s="16"/>
    </row>
    <row r="983">
      <c r="A983" s="16"/>
      <c r="B983" s="16"/>
      <c r="C983" s="16"/>
      <c r="D983" s="16"/>
    </row>
    <row r="984">
      <c r="A984" s="16"/>
      <c r="B984" s="16"/>
      <c r="C984" s="16"/>
      <c r="D984" s="16"/>
    </row>
    <row r="985">
      <c r="A985" s="16"/>
      <c r="B985" s="16"/>
      <c r="C985" s="16"/>
      <c r="D985" s="16"/>
    </row>
    <row r="986">
      <c r="A986" s="16"/>
      <c r="B986" s="16"/>
      <c r="C986" s="16"/>
      <c r="D986" s="16"/>
    </row>
    <row r="987">
      <c r="A987" s="16"/>
      <c r="B987" s="16"/>
      <c r="C987" s="16"/>
      <c r="D987" s="16"/>
    </row>
    <row r="988">
      <c r="A988" s="16"/>
      <c r="B988" s="16"/>
      <c r="C988" s="16"/>
      <c r="D988" s="16"/>
    </row>
    <row r="989">
      <c r="A989" s="16"/>
      <c r="B989" s="16"/>
      <c r="C989" s="16"/>
      <c r="D989" s="16"/>
    </row>
    <row r="990">
      <c r="A990" s="16"/>
      <c r="B990" s="16"/>
      <c r="C990" s="16"/>
      <c r="D990" s="16"/>
    </row>
    <row r="991">
      <c r="A991" s="16"/>
      <c r="B991" s="16"/>
      <c r="C991" s="16"/>
      <c r="D991" s="16"/>
    </row>
    <row r="992">
      <c r="A992" s="16"/>
      <c r="B992" s="16"/>
      <c r="C992" s="16"/>
      <c r="D992" s="16"/>
    </row>
    <row r="993">
      <c r="A993" s="16"/>
      <c r="B993" s="16"/>
      <c r="C993" s="16"/>
      <c r="D993" s="16"/>
    </row>
    <row r="994">
      <c r="A994" s="16"/>
      <c r="B994" s="16"/>
      <c r="C994" s="16"/>
      <c r="D994" s="16"/>
    </row>
    <row r="995">
      <c r="A995" s="16"/>
      <c r="B995" s="16"/>
      <c r="C995" s="16"/>
      <c r="D995" s="16"/>
    </row>
    <row r="996">
      <c r="A996" s="16"/>
      <c r="B996" s="16"/>
      <c r="C996" s="16"/>
      <c r="D996" s="16"/>
    </row>
    <row r="997">
      <c r="A997" s="16"/>
      <c r="B997" s="16"/>
      <c r="C997" s="16"/>
      <c r="D997" s="16"/>
    </row>
    <row r="998">
      <c r="A998" s="16"/>
      <c r="B998" s="16"/>
      <c r="C998" s="16"/>
      <c r="D998" s="16"/>
    </row>
    <row r="999">
      <c r="A999" s="16"/>
      <c r="B999" s="16"/>
      <c r="C999" s="16"/>
      <c r="D999" s="16"/>
    </row>
    <row r="1000">
      <c r="A1000" s="16"/>
      <c r="B1000" s="16"/>
      <c r="C1000" s="16"/>
      <c r="D1000" s="1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88"/>
    <col customWidth="1" min="4" max="5" width="14.0"/>
  </cols>
  <sheetData>
    <row r="1">
      <c r="A1" s="20" t="s">
        <v>527</v>
      </c>
      <c r="B1" s="20" t="s">
        <v>816</v>
      </c>
      <c r="C1" s="21" t="s">
        <v>817</v>
      </c>
      <c r="D1" s="20" t="s">
        <v>818</v>
      </c>
      <c r="E1" s="20" t="s">
        <v>819</v>
      </c>
    </row>
    <row r="2">
      <c r="A2" s="22" t="s">
        <v>8</v>
      </c>
      <c r="B2" s="23" t="s">
        <v>9</v>
      </c>
      <c r="C2" s="24" t="s">
        <v>10</v>
      </c>
      <c r="D2" s="25">
        <v>789.0</v>
      </c>
      <c r="E2" s="25">
        <v>78206.0</v>
      </c>
    </row>
    <row r="3">
      <c r="A3" s="22" t="s">
        <v>8</v>
      </c>
      <c r="B3" s="23" t="s">
        <v>11</v>
      </c>
      <c r="C3" s="24" t="s">
        <v>12</v>
      </c>
      <c r="D3" s="25">
        <v>34.0</v>
      </c>
      <c r="E3" s="25">
        <v>96912.0</v>
      </c>
    </row>
    <row r="4">
      <c r="A4" s="22" t="s">
        <v>8</v>
      </c>
      <c r="B4" s="23" t="s">
        <v>13</v>
      </c>
      <c r="C4" s="24" t="s">
        <v>14</v>
      </c>
      <c r="D4" s="25">
        <v>68.0</v>
      </c>
      <c r="E4" s="25">
        <v>57510.0</v>
      </c>
    </row>
    <row r="5">
      <c r="A5" s="22" t="s">
        <v>8</v>
      </c>
      <c r="B5" s="23" t="s">
        <v>15</v>
      </c>
      <c r="C5" s="24" t="s">
        <v>16</v>
      </c>
      <c r="D5" s="25">
        <v>172.0</v>
      </c>
      <c r="E5" s="25">
        <v>54459.0</v>
      </c>
    </row>
    <row r="6">
      <c r="A6" s="22" t="s">
        <v>8</v>
      </c>
      <c r="B6" s="23" t="s">
        <v>17</v>
      </c>
      <c r="C6" s="24" t="s">
        <v>18</v>
      </c>
      <c r="D6" s="25">
        <v>283.0</v>
      </c>
      <c r="E6" s="25">
        <v>66079.0</v>
      </c>
    </row>
    <row r="7">
      <c r="A7" s="22" t="s">
        <v>8</v>
      </c>
      <c r="B7" s="23" t="s">
        <v>19</v>
      </c>
      <c r="C7" s="24" t="s">
        <v>20</v>
      </c>
      <c r="D7" s="25">
        <v>54.0</v>
      </c>
      <c r="E7" s="25">
        <v>29094.0</v>
      </c>
    </row>
    <row r="8">
      <c r="A8" s="22" t="s">
        <v>8</v>
      </c>
      <c r="B8" s="23" t="s">
        <v>21</v>
      </c>
      <c r="C8" s="24" t="s">
        <v>22</v>
      </c>
      <c r="D8" s="25">
        <v>8.0</v>
      </c>
      <c r="E8" s="25">
        <v>42148.0</v>
      </c>
    </row>
    <row r="9">
      <c r="A9" s="22" t="s">
        <v>8</v>
      </c>
      <c r="B9" s="23" t="s">
        <v>23</v>
      </c>
      <c r="C9" s="24" t="s">
        <v>24</v>
      </c>
      <c r="D9" s="25">
        <v>37.0</v>
      </c>
      <c r="E9" s="25">
        <v>51596.0</v>
      </c>
    </row>
    <row r="10">
      <c r="A10" s="22" t="s">
        <v>8</v>
      </c>
      <c r="B10" s="23" t="s">
        <v>25</v>
      </c>
      <c r="C10" s="24" t="s">
        <v>26</v>
      </c>
      <c r="D10" s="25">
        <v>33.0</v>
      </c>
      <c r="E10" s="25">
        <v>58805.0</v>
      </c>
    </row>
    <row r="11">
      <c r="A11" s="22" t="s">
        <v>8</v>
      </c>
      <c r="B11" s="23" t="s">
        <v>27</v>
      </c>
      <c r="C11" s="24" t="s">
        <v>28</v>
      </c>
      <c r="D11" s="25">
        <v>0.0</v>
      </c>
      <c r="E11" s="25">
        <v>59093.0</v>
      </c>
    </row>
    <row r="12">
      <c r="A12" s="22" t="s">
        <v>8</v>
      </c>
      <c r="B12" s="23" t="s">
        <v>29</v>
      </c>
      <c r="C12" s="24" t="s">
        <v>30</v>
      </c>
      <c r="D12" s="25">
        <v>220.0</v>
      </c>
      <c r="E12" s="25">
        <v>41025.0</v>
      </c>
    </row>
    <row r="13">
      <c r="A13" s="22" t="s">
        <v>8</v>
      </c>
      <c r="B13" s="23" t="s">
        <v>552</v>
      </c>
      <c r="C13" s="24" t="s">
        <v>32</v>
      </c>
      <c r="D13" s="25">
        <v>102.0</v>
      </c>
      <c r="E13" s="25">
        <v>53732.0</v>
      </c>
    </row>
    <row r="14">
      <c r="A14" s="22" t="s">
        <v>8</v>
      </c>
      <c r="B14" s="23" t="s">
        <v>33</v>
      </c>
      <c r="C14" s="24" t="s">
        <v>34</v>
      </c>
      <c r="D14" s="25">
        <v>0.0</v>
      </c>
      <c r="E14" s="25">
        <v>47642.0</v>
      </c>
    </row>
    <row r="15">
      <c r="A15" s="22" t="s">
        <v>8</v>
      </c>
      <c r="B15" s="23" t="s">
        <v>35</v>
      </c>
      <c r="C15" s="24" t="s">
        <v>36</v>
      </c>
      <c r="D15" s="25">
        <v>88.0</v>
      </c>
      <c r="E15" s="25">
        <v>72129.0</v>
      </c>
    </row>
    <row r="16">
      <c r="A16" s="22" t="s">
        <v>8</v>
      </c>
      <c r="B16" s="23" t="s">
        <v>37</v>
      </c>
      <c r="C16" s="24" t="s">
        <v>38</v>
      </c>
      <c r="D16" s="25">
        <v>75.0</v>
      </c>
      <c r="E16" s="25">
        <v>63412.0</v>
      </c>
    </row>
    <row r="17">
      <c r="A17" s="22" t="s">
        <v>8</v>
      </c>
      <c r="B17" s="23" t="s">
        <v>39</v>
      </c>
      <c r="C17" s="24" t="s">
        <v>40</v>
      </c>
      <c r="D17" s="25">
        <v>185.0</v>
      </c>
      <c r="E17" s="25">
        <v>37706.0</v>
      </c>
    </row>
    <row r="18">
      <c r="A18" s="22" t="s">
        <v>8</v>
      </c>
      <c r="B18" s="23" t="s">
        <v>41</v>
      </c>
      <c r="C18" s="24" t="s">
        <v>42</v>
      </c>
      <c r="D18" s="25">
        <v>100.0</v>
      </c>
      <c r="E18" s="25">
        <v>52008.0</v>
      </c>
    </row>
    <row r="19">
      <c r="A19" s="22" t="s">
        <v>8</v>
      </c>
      <c r="B19" s="23" t="s">
        <v>43</v>
      </c>
      <c r="C19" s="24" t="s">
        <v>44</v>
      </c>
      <c r="D19" s="25">
        <v>281.0</v>
      </c>
      <c r="E19" s="25">
        <v>68762.0</v>
      </c>
    </row>
    <row r="20">
      <c r="A20" s="22" t="s">
        <v>8</v>
      </c>
      <c r="B20" s="23" t="s">
        <v>45</v>
      </c>
      <c r="C20" s="24" t="s">
        <v>46</v>
      </c>
      <c r="D20" s="25">
        <v>0.0</v>
      </c>
      <c r="E20" s="25">
        <v>39584.0</v>
      </c>
    </row>
    <row r="21">
      <c r="A21" s="22" t="s">
        <v>8</v>
      </c>
      <c r="B21" s="23" t="s">
        <v>47</v>
      </c>
      <c r="C21" s="24" t="s">
        <v>48</v>
      </c>
      <c r="D21" s="25">
        <v>82.0</v>
      </c>
      <c r="E21" s="25">
        <v>55147.0</v>
      </c>
    </row>
    <row r="22">
      <c r="A22" s="26" t="s">
        <v>8</v>
      </c>
      <c r="B22" s="23" t="s">
        <v>49</v>
      </c>
      <c r="C22" s="24" t="s">
        <v>50</v>
      </c>
      <c r="D22" s="25">
        <v>252.0</v>
      </c>
      <c r="E22" s="25">
        <v>158842.0</v>
      </c>
    </row>
    <row r="23">
      <c r="A23" s="22" t="s">
        <v>51</v>
      </c>
      <c r="B23" s="23" t="s">
        <v>52</v>
      </c>
      <c r="C23" s="24" t="s">
        <v>53</v>
      </c>
      <c r="D23" s="25">
        <v>683.0</v>
      </c>
      <c r="E23" s="25">
        <v>104368.0</v>
      </c>
    </row>
    <row r="24">
      <c r="A24" s="22" t="s">
        <v>51</v>
      </c>
      <c r="B24" s="23" t="s">
        <v>51</v>
      </c>
      <c r="C24" s="24" t="s">
        <v>54</v>
      </c>
      <c r="D24" s="25">
        <v>1568.0</v>
      </c>
      <c r="E24" s="25">
        <v>348909.0</v>
      </c>
    </row>
    <row r="25">
      <c r="A25" s="22" t="s">
        <v>51</v>
      </c>
      <c r="B25" s="23" t="s">
        <v>55</v>
      </c>
      <c r="C25" s="24" t="s">
        <v>56</v>
      </c>
      <c r="D25" s="25">
        <v>303.0</v>
      </c>
      <c r="E25" s="25">
        <v>52820.0</v>
      </c>
    </row>
    <row r="26">
      <c r="A26" s="22" t="s">
        <v>51</v>
      </c>
      <c r="B26" s="23" t="s">
        <v>57</v>
      </c>
      <c r="C26" s="4" t="s">
        <v>58</v>
      </c>
      <c r="D26" s="25">
        <v>234.0</v>
      </c>
      <c r="E26" s="25">
        <v>71163.0</v>
      </c>
    </row>
    <row r="27">
      <c r="A27" s="22" t="s">
        <v>51</v>
      </c>
      <c r="B27" s="23" t="s">
        <v>59</v>
      </c>
      <c r="C27" s="24" t="s">
        <v>60</v>
      </c>
      <c r="D27" s="25">
        <v>444.0</v>
      </c>
      <c r="E27" s="25">
        <v>111473.0</v>
      </c>
    </row>
    <row r="28">
      <c r="A28" s="22" t="s">
        <v>51</v>
      </c>
      <c r="B28" s="23" t="s">
        <v>61</v>
      </c>
      <c r="C28" s="24" t="s">
        <v>62</v>
      </c>
      <c r="D28" s="25">
        <v>104.0</v>
      </c>
      <c r="E28" s="25">
        <v>54560.0</v>
      </c>
    </row>
    <row r="29">
      <c r="A29" s="22" t="s">
        <v>51</v>
      </c>
      <c r="B29" s="23" t="s">
        <v>63</v>
      </c>
      <c r="C29" s="24" t="s">
        <v>64</v>
      </c>
      <c r="D29" s="25">
        <v>324.0</v>
      </c>
      <c r="E29" s="25">
        <v>139976.0</v>
      </c>
    </row>
    <row r="30">
      <c r="A30" s="22" t="s">
        <v>51</v>
      </c>
      <c r="B30" s="23" t="s">
        <v>65</v>
      </c>
      <c r="C30" s="24" t="s">
        <v>66</v>
      </c>
      <c r="D30" s="25">
        <v>105.0</v>
      </c>
      <c r="E30" s="25">
        <v>113535.0</v>
      </c>
    </row>
    <row r="31">
      <c r="A31" s="22" t="s">
        <v>51</v>
      </c>
      <c r="B31" s="23" t="s">
        <v>67</v>
      </c>
      <c r="C31" s="24" t="s">
        <v>68</v>
      </c>
      <c r="D31" s="25">
        <v>649.0</v>
      </c>
      <c r="E31" s="25">
        <v>58540.0</v>
      </c>
    </row>
    <row r="32">
      <c r="A32" s="22" t="s">
        <v>51</v>
      </c>
      <c r="B32" s="23" t="s">
        <v>69</v>
      </c>
      <c r="C32" s="4" t="s">
        <v>70</v>
      </c>
      <c r="D32" s="25">
        <v>1269.0</v>
      </c>
      <c r="E32" s="25">
        <v>92045.0</v>
      </c>
    </row>
    <row r="33">
      <c r="A33" s="22" t="s">
        <v>51</v>
      </c>
      <c r="B33" s="23" t="s">
        <v>549</v>
      </c>
      <c r="C33" s="24" t="s">
        <v>72</v>
      </c>
      <c r="D33" s="25">
        <v>140.0</v>
      </c>
      <c r="E33" s="25">
        <v>44065.0</v>
      </c>
    </row>
    <row r="34">
      <c r="A34" s="22" t="s">
        <v>51</v>
      </c>
      <c r="B34" s="23" t="s">
        <v>73</v>
      </c>
      <c r="C34" s="24" t="s">
        <v>74</v>
      </c>
      <c r="D34" s="25">
        <v>1730.0</v>
      </c>
      <c r="E34" s="25">
        <v>151068.0</v>
      </c>
    </row>
    <row r="35">
      <c r="A35" s="22" t="s">
        <v>51</v>
      </c>
      <c r="B35" s="23" t="s">
        <v>75</v>
      </c>
      <c r="C35" s="24" t="s">
        <v>76</v>
      </c>
      <c r="D35" s="25">
        <v>136.0</v>
      </c>
      <c r="E35" s="25">
        <v>53958.0</v>
      </c>
    </row>
    <row r="36">
      <c r="A36" s="22" t="s">
        <v>51</v>
      </c>
      <c r="B36" s="23" t="s">
        <v>77</v>
      </c>
      <c r="C36" s="24" t="s">
        <v>78</v>
      </c>
      <c r="D36" s="25">
        <v>972.0</v>
      </c>
      <c r="E36" s="25">
        <v>80443.0</v>
      </c>
    </row>
    <row r="37">
      <c r="A37" s="22" t="s">
        <v>51</v>
      </c>
      <c r="B37" s="23" t="s">
        <v>79</v>
      </c>
      <c r="C37" s="24" t="s">
        <v>80</v>
      </c>
      <c r="D37" s="25">
        <v>934.0</v>
      </c>
      <c r="E37" s="25">
        <v>186392.0</v>
      </c>
    </row>
    <row r="38">
      <c r="A38" s="22" t="s">
        <v>51</v>
      </c>
      <c r="B38" s="23" t="s">
        <v>81</v>
      </c>
      <c r="C38" s="24" t="s">
        <v>82</v>
      </c>
      <c r="D38" s="25">
        <v>208.0</v>
      </c>
      <c r="E38" s="25">
        <v>80400.0</v>
      </c>
    </row>
    <row r="39">
      <c r="A39" s="22" t="s">
        <v>51</v>
      </c>
      <c r="B39" s="23" t="s">
        <v>83</v>
      </c>
      <c r="C39" s="4" t="s">
        <v>84</v>
      </c>
      <c r="D39" s="25">
        <v>256.0</v>
      </c>
      <c r="E39" s="25">
        <v>94457.0</v>
      </c>
    </row>
    <row r="40">
      <c r="A40" s="22" t="s">
        <v>51</v>
      </c>
      <c r="B40" s="23" t="s">
        <v>85</v>
      </c>
      <c r="C40" s="24" t="s">
        <v>86</v>
      </c>
      <c r="D40" s="25">
        <v>307.0</v>
      </c>
      <c r="E40" s="25">
        <v>170821.0</v>
      </c>
    </row>
    <row r="41">
      <c r="A41" s="22" t="s">
        <v>51</v>
      </c>
      <c r="B41" s="23" t="s">
        <v>87</v>
      </c>
      <c r="C41" s="24" t="s">
        <v>88</v>
      </c>
      <c r="D41" s="25">
        <v>87.0</v>
      </c>
      <c r="E41" s="25">
        <v>47936.0</v>
      </c>
    </row>
    <row r="42">
      <c r="A42" s="26" t="s">
        <v>51</v>
      </c>
      <c r="B42" s="23" t="s">
        <v>89</v>
      </c>
      <c r="C42" s="24" t="s">
        <v>90</v>
      </c>
      <c r="D42" s="25">
        <v>1271.0</v>
      </c>
      <c r="E42" s="25">
        <v>102641.0</v>
      </c>
    </row>
    <row r="43">
      <c r="A43" s="22" t="s">
        <v>820</v>
      </c>
      <c r="B43" s="23" t="s">
        <v>821</v>
      </c>
      <c r="C43" s="24" t="s">
        <v>822</v>
      </c>
      <c r="D43" s="25">
        <v>0.0</v>
      </c>
      <c r="E43" s="25">
        <v>7209.0</v>
      </c>
    </row>
    <row r="44">
      <c r="A44" s="22" t="s">
        <v>820</v>
      </c>
      <c r="B44" s="23" t="s">
        <v>823</v>
      </c>
      <c r="C44" s="24" t="s">
        <v>824</v>
      </c>
      <c r="D44" s="25">
        <v>18.0</v>
      </c>
      <c r="E44" s="25">
        <v>91296.0</v>
      </c>
    </row>
    <row r="45">
      <c r="A45" s="22" t="s">
        <v>820</v>
      </c>
      <c r="B45" s="23" t="s">
        <v>825</v>
      </c>
      <c r="C45" s="24" t="s">
        <v>826</v>
      </c>
      <c r="D45" s="25">
        <v>510.0</v>
      </c>
      <c r="E45" s="25">
        <v>38939.0</v>
      </c>
    </row>
    <row r="46">
      <c r="A46" s="22" t="s">
        <v>820</v>
      </c>
      <c r="B46" s="23" t="s">
        <v>827</v>
      </c>
      <c r="C46" s="24" t="s">
        <v>828</v>
      </c>
      <c r="D46" s="25">
        <v>82.0</v>
      </c>
      <c r="E46" s="25">
        <v>31357.0</v>
      </c>
    </row>
    <row r="47">
      <c r="A47" s="22" t="s">
        <v>820</v>
      </c>
      <c r="B47" s="23" t="s">
        <v>829</v>
      </c>
      <c r="C47" s="24" t="s">
        <v>830</v>
      </c>
      <c r="D47" s="25">
        <v>419.0</v>
      </c>
      <c r="E47" s="25">
        <v>67039.0</v>
      </c>
    </row>
    <row r="48">
      <c r="A48" s="22" t="s">
        <v>820</v>
      </c>
      <c r="B48" s="23" t="s">
        <v>831</v>
      </c>
      <c r="C48" s="24" t="s">
        <v>832</v>
      </c>
      <c r="D48" s="25">
        <v>160.0</v>
      </c>
      <c r="E48" s="25">
        <v>34146.0</v>
      </c>
    </row>
    <row r="49">
      <c r="A49" s="22" t="s">
        <v>820</v>
      </c>
      <c r="B49" s="23" t="s">
        <v>833</v>
      </c>
      <c r="C49" s="24" t="s">
        <v>834</v>
      </c>
      <c r="D49" s="25">
        <v>292.0</v>
      </c>
      <c r="E49" s="25">
        <v>34816.0</v>
      </c>
    </row>
    <row r="50">
      <c r="A50" s="22" t="s">
        <v>820</v>
      </c>
      <c r="B50" s="23" t="s">
        <v>835</v>
      </c>
      <c r="C50" s="24" t="s">
        <v>836</v>
      </c>
      <c r="D50" s="25">
        <v>120.0</v>
      </c>
      <c r="E50" s="25">
        <v>43313.0</v>
      </c>
    </row>
    <row r="51">
      <c r="A51" s="22" t="s">
        <v>820</v>
      </c>
      <c r="B51" s="23" t="s">
        <v>837</v>
      </c>
      <c r="C51" s="24" t="s">
        <v>838</v>
      </c>
      <c r="D51" s="25">
        <v>10.0</v>
      </c>
      <c r="E51" s="25">
        <v>22214.0</v>
      </c>
    </row>
    <row r="52">
      <c r="A52" s="22" t="s">
        <v>820</v>
      </c>
      <c r="B52" s="23" t="s">
        <v>839</v>
      </c>
      <c r="C52" s="24" t="s">
        <v>840</v>
      </c>
      <c r="D52" s="25">
        <v>11.0</v>
      </c>
      <c r="E52" s="25">
        <v>2359.0</v>
      </c>
    </row>
    <row r="53">
      <c r="A53" s="22" t="s">
        <v>820</v>
      </c>
      <c r="B53" s="23" t="s">
        <v>841</v>
      </c>
      <c r="C53" s="24" t="s">
        <v>842</v>
      </c>
      <c r="D53" s="25">
        <v>269.0</v>
      </c>
      <c r="E53" s="25">
        <v>53642.0</v>
      </c>
    </row>
    <row r="54">
      <c r="A54" s="22" t="s">
        <v>820</v>
      </c>
      <c r="B54" s="23" t="s">
        <v>843</v>
      </c>
      <c r="C54" s="24" t="s">
        <v>844</v>
      </c>
      <c r="D54" s="25">
        <v>50.0</v>
      </c>
      <c r="E54" s="25">
        <v>51788.0</v>
      </c>
    </row>
    <row r="55">
      <c r="A55" s="22" t="s">
        <v>820</v>
      </c>
      <c r="B55" s="23" t="s">
        <v>845</v>
      </c>
      <c r="C55" s="24" t="s">
        <v>846</v>
      </c>
      <c r="D55" s="25">
        <v>785.0</v>
      </c>
      <c r="E55" s="25">
        <v>234532.0</v>
      </c>
    </row>
    <row r="56">
      <c r="A56" s="22" t="s">
        <v>820</v>
      </c>
      <c r="B56" s="23" t="s">
        <v>847</v>
      </c>
      <c r="C56" s="24" t="s">
        <v>848</v>
      </c>
      <c r="D56" s="25">
        <v>30.0</v>
      </c>
      <c r="E56" s="25">
        <v>27748.0</v>
      </c>
    </row>
    <row r="57">
      <c r="A57" s="22" t="s">
        <v>820</v>
      </c>
      <c r="B57" s="23" t="s">
        <v>849</v>
      </c>
      <c r="C57" s="24" t="s">
        <v>850</v>
      </c>
      <c r="D57" s="25">
        <v>0.0</v>
      </c>
      <c r="E57" s="25">
        <v>8573.0</v>
      </c>
    </row>
    <row r="58">
      <c r="A58" s="22" t="s">
        <v>820</v>
      </c>
      <c r="B58" s="23" t="s">
        <v>851</v>
      </c>
      <c r="C58" s="24" t="s">
        <v>852</v>
      </c>
      <c r="D58" s="25">
        <v>90.0</v>
      </c>
      <c r="E58" s="25">
        <v>86471.0</v>
      </c>
    </row>
    <row r="59">
      <c r="A59" s="22" t="s">
        <v>820</v>
      </c>
      <c r="B59" s="23" t="s">
        <v>853</v>
      </c>
      <c r="C59" s="24" t="s">
        <v>854</v>
      </c>
      <c r="D59" s="25">
        <v>56.0</v>
      </c>
      <c r="E59" s="25">
        <v>20562.0</v>
      </c>
    </row>
    <row r="60">
      <c r="A60" s="22" t="s">
        <v>820</v>
      </c>
      <c r="B60" s="23" t="s">
        <v>855</v>
      </c>
      <c r="C60" s="24" t="s">
        <v>856</v>
      </c>
      <c r="D60" s="25">
        <v>98.0</v>
      </c>
      <c r="E60" s="25">
        <v>48694.0</v>
      </c>
    </row>
    <row r="61">
      <c r="A61" s="22" t="s">
        <v>820</v>
      </c>
      <c r="B61" s="23" t="s">
        <v>857</v>
      </c>
      <c r="C61" s="24" t="s">
        <v>858</v>
      </c>
      <c r="D61" s="25">
        <v>209.0</v>
      </c>
      <c r="E61" s="25">
        <v>42653.0</v>
      </c>
    </row>
    <row r="62">
      <c r="A62" s="22" t="s">
        <v>820</v>
      </c>
      <c r="B62" s="23" t="s">
        <v>859</v>
      </c>
      <c r="C62" s="24" t="s">
        <v>860</v>
      </c>
      <c r="D62" s="25">
        <v>5.0</v>
      </c>
      <c r="E62" s="25">
        <v>27180.0</v>
      </c>
    </row>
    <row r="63">
      <c r="A63" s="22" t="s">
        <v>820</v>
      </c>
      <c r="B63" s="23" t="s">
        <v>861</v>
      </c>
      <c r="C63" s="24" t="s">
        <v>862</v>
      </c>
      <c r="D63" s="25">
        <v>681.0</v>
      </c>
      <c r="E63" s="25">
        <v>340681.0</v>
      </c>
    </row>
    <row r="64">
      <c r="A64" s="22" t="s">
        <v>820</v>
      </c>
      <c r="B64" s="23" t="s">
        <v>863</v>
      </c>
      <c r="C64" s="24" t="s">
        <v>864</v>
      </c>
      <c r="D64" s="25">
        <v>0.0</v>
      </c>
      <c r="E64" s="25">
        <v>9250.0</v>
      </c>
    </row>
    <row r="65">
      <c r="A65" s="22" t="s">
        <v>820</v>
      </c>
      <c r="B65" s="23" t="s">
        <v>865</v>
      </c>
      <c r="C65" s="24" t="s">
        <v>866</v>
      </c>
      <c r="D65" s="25">
        <v>765.0</v>
      </c>
      <c r="E65" s="25">
        <v>22134.0</v>
      </c>
    </row>
    <row r="66">
      <c r="A66" s="22" t="s">
        <v>820</v>
      </c>
      <c r="B66" s="23" t="s">
        <v>867</v>
      </c>
      <c r="C66" s="24" t="s">
        <v>868</v>
      </c>
      <c r="D66" s="25">
        <v>0.0</v>
      </c>
      <c r="E66" s="25">
        <v>57357.0</v>
      </c>
    </row>
    <row r="67">
      <c r="A67" s="22" t="s">
        <v>820</v>
      </c>
      <c r="B67" s="23" t="s">
        <v>869</v>
      </c>
      <c r="C67" s="24" t="s">
        <v>870</v>
      </c>
      <c r="D67" s="25">
        <v>970.0</v>
      </c>
      <c r="E67" s="25">
        <v>57504.0</v>
      </c>
    </row>
    <row r="68">
      <c r="A68" s="22" t="s">
        <v>820</v>
      </c>
      <c r="B68" s="23" t="s">
        <v>871</v>
      </c>
      <c r="C68" s="24" t="s">
        <v>872</v>
      </c>
      <c r="D68" s="25">
        <v>246.0</v>
      </c>
      <c r="E68" s="25">
        <v>20176.0</v>
      </c>
    </row>
    <row r="69">
      <c r="A69" s="26" t="s">
        <v>820</v>
      </c>
      <c r="B69" s="23" t="s">
        <v>873</v>
      </c>
      <c r="C69" s="24" t="s">
        <v>874</v>
      </c>
      <c r="D69" s="25">
        <v>105.0</v>
      </c>
      <c r="E69" s="25">
        <v>50982.0</v>
      </c>
    </row>
    <row r="70">
      <c r="A70" s="22" t="s">
        <v>91</v>
      </c>
      <c r="B70" s="23" t="s">
        <v>92</v>
      </c>
      <c r="C70" s="24" t="s">
        <v>93</v>
      </c>
      <c r="D70" s="25">
        <v>50.0</v>
      </c>
      <c r="E70" s="25">
        <v>149063.0</v>
      </c>
    </row>
    <row r="71">
      <c r="A71" s="22" t="s">
        <v>91</v>
      </c>
      <c r="B71" s="23" t="s">
        <v>94</v>
      </c>
      <c r="C71" s="24" t="s">
        <v>95</v>
      </c>
      <c r="D71" s="25">
        <v>135.0</v>
      </c>
      <c r="E71" s="25">
        <v>68210.0</v>
      </c>
    </row>
    <row r="72">
      <c r="A72" s="22" t="s">
        <v>91</v>
      </c>
      <c r="B72" s="23" t="s">
        <v>96</v>
      </c>
      <c r="C72" s="24" t="s">
        <v>97</v>
      </c>
      <c r="D72" s="25">
        <v>9.0</v>
      </c>
      <c r="E72" s="25">
        <v>39403.0</v>
      </c>
    </row>
    <row r="73">
      <c r="A73" s="22" t="s">
        <v>91</v>
      </c>
      <c r="B73" s="23" t="s">
        <v>98</v>
      </c>
      <c r="C73" s="24" t="s">
        <v>99</v>
      </c>
      <c r="D73" s="25">
        <v>13.0</v>
      </c>
      <c r="E73" s="25">
        <v>72801.0</v>
      </c>
    </row>
    <row r="74">
      <c r="A74" s="22" t="s">
        <v>91</v>
      </c>
      <c r="B74" s="23" t="s">
        <v>100</v>
      </c>
      <c r="C74" s="24" t="s">
        <v>101</v>
      </c>
      <c r="D74" s="25">
        <v>153.0</v>
      </c>
      <c r="E74" s="25">
        <v>69732.0</v>
      </c>
    </row>
    <row r="75">
      <c r="A75" s="22" t="s">
        <v>91</v>
      </c>
      <c r="B75" s="23" t="s">
        <v>91</v>
      </c>
      <c r="C75" s="24" t="s">
        <v>102</v>
      </c>
      <c r="D75" s="25">
        <v>237.0</v>
      </c>
      <c r="E75" s="25">
        <v>81651.0</v>
      </c>
    </row>
    <row r="76">
      <c r="A76" s="22" t="s">
        <v>91</v>
      </c>
      <c r="B76" s="23" t="s">
        <v>103</v>
      </c>
      <c r="C76" s="24" t="s">
        <v>104</v>
      </c>
      <c r="D76" s="25">
        <v>0.0</v>
      </c>
      <c r="E76" s="25">
        <v>56563.0</v>
      </c>
    </row>
    <row r="77">
      <c r="A77" s="22" t="s">
        <v>91</v>
      </c>
      <c r="B77" s="23" t="s">
        <v>105</v>
      </c>
      <c r="C77" s="24" t="s">
        <v>106</v>
      </c>
      <c r="D77" s="25">
        <v>132.0</v>
      </c>
      <c r="E77" s="25">
        <v>61035.0</v>
      </c>
    </row>
    <row r="78">
      <c r="A78" s="22" t="s">
        <v>91</v>
      </c>
      <c r="B78" s="23" t="s">
        <v>107</v>
      </c>
      <c r="C78" s="24" t="s">
        <v>108</v>
      </c>
      <c r="D78" s="25">
        <v>21.0</v>
      </c>
      <c r="E78" s="25">
        <v>37411.0</v>
      </c>
    </row>
    <row r="79">
      <c r="A79" s="22" t="s">
        <v>91</v>
      </c>
      <c r="B79" s="23" t="s">
        <v>109</v>
      </c>
      <c r="C79" s="4" t="s">
        <v>110</v>
      </c>
      <c r="D79" s="25">
        <v>0.0</v>
      </c>
      <c r="E79" s="25">
        <v>33549.0</v>
      </c>
    </row>
    <row r="80">
      <c r="A80" s="26" t="s">
        <v>91</v>
      </c>
      <c r="B80" s="23" t="s">
        <v>875</v>
      </c>
      <c r="C80" s="1" t="s">
        <v>112</v>
      </c>
      <c r="D80" s="25">
        <v>485.0</v>
      </c>
      <c r="E80" s="25">
        <v>86133.0</v>
      </c>
    </row>
    <row r="81">
      <c r="A81" s="22" t="s">
        <v>113</v>
      </c>
      <c r="B81" s="23" t="s">
        <v>114</v>
      </c>
      <c r="C81" s="24" t="s">
        <v>115</v>
      </c>
      <c r="D81" s="25">
        <v>547.0</v>
      </c>
      <c r="E81" s="25">
        <v>40855.0</v>
      </c>
    </row>
    <row r="82">
      <c r="A82" s="22" t="s">
        <v>113</v>
      </c>
      <c r="B82" s="23" t="s">
        <v>116</v>
      </c>
      <c r="C82" s="24" t="s">
        <v>117</v>
      </c>
      <c r="D82" s="25">
        <v>26.0</v>
      </c>
      <c r="E82" s="25">
        <v>75281.0</v>
      </c>
    </row>
    <row r="83">
      <c r="A83" s="22" t="s">
        <v>113</v>
      </c>
      <c r="B83" s="23" t="s">
        <v>118</v>
      </c>
      <c r="C83" s="24" t="s">
        <v>119</v>
      </c>
      <c r="D83" s="25">
        <v>863.0</v>
      </c>
      <c r="E83" s="25">
        <v>159404.0</v>
      </c>
    </row>
    <row r="84">
      <c r="A84" s="22" t="s">
        <v>113</v>
      </c>
      <c r="B84" s="23" t="s">
        <v>120</v>
      </c>
      <c r="C84" s="24" t="s">
        <v>121</v>
      </c>
      <c r="D84" s="25">
        <v>78.0</v>
      </c>
      <c r="E84" s="25">
        <v>47752.0</v>
      </c>
    </row>
    <row r="85">
      <c r="A85" s="22" t="s">
        <v>113</v>
      </c>
      <c r="B85" s="23" t="s">
        <v>122</v>
      </c>
      <c r="C85" s="24" t="s">
        <v>123</v>
      </c>
      <c r="D85" s="25">
        <v>228.0</v>
      </c>
      <c r="E85" s="25">
        <v>49312.0</v>
      </c>
    </row>
    <row r="86">
      <c r="A86" s="22" t="s">
        <v>113</v>
      </c>
      <c r="B86" s="23" t="s">
        <v>124</v>
      </c>
      <c r="C86" s="24" t="s">
        <v>125</v>
      </c>
      <c r="D86" s="25">
        <v>276.0</v>
      </c>
      <c r="E86" s="25">
        <v>108436.0</v>
      </c>
    </row>
    <row r="87">
      <c r="A87" s="22" t="s">
        <v>113</v>
      </c>
      <c r="B87" s="23" t="s">
        <v>126</v>
      </c>
      <c r="C87" s="24" t="s">
        <v>127</v>
      </c>
      <c r="D87" s="25">
        <v>0.0</v>
      </c>
      <c r="E87" s="25">
        <v>31902.0</v>
      </c>
    </row>
    <row r="88">
      <c r="A88" s="22" t="s">
        <v>113</v>
      </c>
      <c r="B88" s="23" t="s">
        <v>128</v>
      </c>
      <c r="C88" s="24" t="s">
        <v>129</v>
      </c>
      <c r="D88" s="25">
        <v>52.0</v>
      </c>
      <c r="E88" s="25">
        <v>60136.0</v>
      </c>
    </row>
    <row r="89">
      <c r="A89" s="22" t="s">
        <v>113</v>
      </c>
      <c r="B89" s="23" t="s">
        <v>130</v>
      </c>
      <c r="C89" s="24" t="s">
        <v>131</v>
      </c>
      <c r="D89" s="25">
        <v>0.0</v>
      </c>
      <c r="E89" s="25">
        <v>42417.0</v>
      </c>
    </row>
    <row r="90">
      <c r="A90" s="22" t="s">
        <v>113</v>
      </c>
      <c r="B90" s="23" t="s">
        <v>132</v>
      </c>
      <c r="C90" s="24" t="s">
        <v>133</v>
      </c>
      <c r="D90" s="25">
        <v>90.0</v>
      </c>
      <c r="E90" s="25">
        <v>42157.0</v>
      </c>
    </row>
    <row r="91">
      <c r="A91" s="22" t="s">
        <v>113</v>
      </c>
      <c r="B91" s="23" t="s">
        <v>134</v>
      </c>
      <c r="C91" s="24" t="s">
        <v>135</v>
      </c>
      <c r="D91" s="25">
        <v>969.0</v>
      </c>
      <c r="E91" s="25">
        <v>162757.0</v>
      </c>
    </row>
    <row r="92">
      <c r="A92" s="22" t="s">
        <v>113</v>
      </c>
      <c r="B92" s="23" t="s">
        <v>136</v>
      </c>
      <c r="C92" s="24" t="s">
        <v>137</v>
      </c>
      <c r="D92" s="25">
        <v>113.0</v>
      </c>
      <c r="E92" s="25">
        <v>30957.0</v>
      </c>
    </row>
    <row r="93">
      <c r="A93" s="22" t="s">
        <v>113</v>
      </c>
      <c r="B93" s="23" t="s">
        <v>138</v>
      </c>
      <c r="C93" s="24" t="s">
        <v>139</v>
      </c>
      <c r="D93" s="25">
        <v>65.0</v>
      </c>
      <c r="E93" s="25">
        <v>45093.0</v>
      </c>
    </row>
    <row r="94">
      <c r="A94" s="22" t="s">
        <v>113</v>
      </c>
      <c r="B94" s="23" t="s">
        <v>140</v>
      </c>
      <c r="C94" s="24" t="s">
        <v>141</v>
      </c>
      <c r="D94" s="25">
        <v>414.0</v>
      </c>
      <c r="E94" s="25">
        <v>84506.0</v>
      </c>
    </row>
    <row r="95">
      <c r="A95" s="22" t="s">
        <v>113</v>
      </c>
      <c r="B95" s="23" t="s">
        <v>142</v>
      </c>
      <c r="C95" s="24" t="s">
        <v>143</v>
      </c>
      <c r="D95" s="25">
        <v>36.0</v>
      </c>
      <c r="E95" s="25">
        <v>91986.0</v>
      </c>
    </row>
    <row r="96">
      <c r="A96" s="22" t="s">
        <v>113</v>
      </c>
      <c r="B96" s="23" t="s">
        <v>144</v>
      </c>
      <c r="C96" s="24" t="s">
        <v>145</v>
      </c>
      <c r="D96" s="25">
        <v>224.0</v>
      </c>
      <c r="E96" s="25">
        <v>53699.0</v>
      </c>
    </row>
    <row r="97">
      <c r="A97" s="22" t="s">
        <v>113</v>
      </c>
      <c r="B97" s="23" t="s">
        <v>146</v>
      </c>
      <c r="C97" s="24" t="s">
        <v>147</v>
      </c>
      <c r="D97" s="25">
        <v>142.0</v>
      </c>
      <c r="E97" s="25">
        <v>51232.0</v>
      </c>
    </row>
    <row r="98">
      <c r="A98" s="22" t="s">
        <v>113</v>
      </c>
      <c r="B98" s="23" t="s">
        <v>631</v>
      </c>
      <c r="C98" s="24" t="s">
        <v>149</v>
      </c>
      <c r="D98" s="25">
        <v>205.0</v>
      </c>
      <c r="E98" s="25">
        <v>58221.0</v>
      </c>
    </row>
    <row r="99">
      <c r="A99" s="22" t="s">
        <v>113</v>
      </c>
      <c r="B99" s="23" t="s">
        <v>150</v>
      </c>
      <c r="C99" s="24" t="s">
        <v>151</v>
      </c>
      <c r="D99" s="25">
        <v>310.0</v>
      </c>
      <c r="E99" s="25">
        <v>91511.0</v>
      </c>
    </row>
    <row r="100">
      <c r="A100" s="22" t="s">
        <v>113</v>
      </c>
      <c r="B100" s="23" t="s">
        <v>152</v>
      </c>
      <c r="C100" s="24" t="s">
        <v>153</v>
      </c>
      <c r="D100" s="25">
        <v>4575.0</v>
      </c>
      <c r="E100" s="25">
        <v>52726.0</v>
      </c>
    </row>
    <row r="101">
      <c r="A101" s="22" t="s">
        <v>113</v>
      </c>
      <c r="B101" s="23" t="s">
        <v>154</v>
      </c>
      <c r="C101" s="24" t="s">
        <v>155</v>
      </c>
      <c r="D101" s="25">
        <v>42.0</v>
      </c>
      <c r="E101" s="25">
        <v>70324.0</v>
      </c>
    </row>
    <row r="102">
      <c r="A102" s="22" t="s">
        <v>113</v>
      </c>
      <c r="B102" s="23" t="s">
        <v>156</v>
      </c>
      <c r="C102" s="24" t="s">
        <v>157</v>
      </c>
      <c r="D102" s="25">
        <v>0.0</v>
      </c>
      <c r="E102" s="25">
        <v>55247.0</v>
      </c>
    </row>
    <row r="103">
      <c r="A103" s="22" t="s">
        <v>113</v>
      </c>
      <c r="B103" s="23" t="s">
        <v>158</v>
      </c>
      <c r="C103" s="24" t="s">
        <v>159</v>
      </c>
      <c r="D103" s="25">
        <v>186.0</v>
      </c>
      <c r="E103" s="25">
        <v>73773.0</v>
      </c>
    </row>
    <row r="104">
      <c r="A104" s="22" t="s">
        <v>113</v>
      </c>
      <c r="B104" s="23" t="s">
        <v>160</v>
      </c>
      <c r="C104" s="24" t="s">
        <v>161</v>
      </c>
      <c r="D104" s="25">
        <v>127.0</v>
      </c>
      <c r="E104" s="25">
        <v>59712.0</v>
      </c>
    </row>
    <row r="105">
      <c r="A105" s="22" t="s">
        <v>113</v>
      </c>
      <c r="B105" s="23" t="s">
        <v>162</v>
      </c>
      <c r="C105" s="24" t="s">
        <v>163</v>
      </c>
      <c r="D105" s="25">
        <v>331.0</v>
      </c>
      <c r="E105" s="25">
        <v>66725.0</v>
      </c>
    </row>
    <row r="106">
      <c r="A106" s="22" t="s">
        <v>113</v>
      </c>
      <c r="B106" s="23" t="s">
        <v>164</v>
      </c>
      <c r="C106" s="24" t="s">
        <v>165</v>
      </c>
      <c r="D106" s="25">
        <v>325.0</v>
      </c>
      <c r="E106" s="25">
        <v>65086.0</v>
      </c>
    </row>
    <row r="107">
      <c r="A107" s="26" t="s">
        <v>113</v>
      </c>
      <c r="B107" s="23" t="s">
        <v>166</v>
      </c>
      <c r="C107" s="24" t="s">
        <v>167</v>
      </c>
      <c r="D107" s="25">
        <v>99.0</v>
      </c>
      <c r="E107" s="25">
        <v>32265.0</v>
      </c>
    </row>
    <row r="108">
      <c r="A108" s="22" t="s">
        <v>168</v>
      </c>
      <c r="B108" s="23" t="s">
        <v>169</v>
      </c>
      <c r="C108" s="24" t="s">
        <v>170</v>
      </c>
      <c r="D108" s="25">
        <v>198.0</v>
      </c>
      <c r="E108" s="25">
        <v>140327.0</v>
      </c>
    </row>
    <row r="109">
      <c r="A109" s="22" t="s">
        <v>168</v>
      </c>
      <c r="B109" s="23" t="s">
        <v>171</v>
      </c>
      <c r="C109" s="24" t="s">
        <v>172</v>
      </c>
      <c r="D109" s="25">
        <v>81.0</v>
      </c>
      <c r="E109" s="25">
        <v>157050.0</v>
      </c>
    </row>
    <row r="110">
      <c r="A110" s="22" t="s">
        <v>168</v>
      </c>
      <c r="B110" s="23" t="s">
        <v>173</v>
      </c>
      <c r="C110" s="24" t="s">
        <v>174</v>
      </c>
      <c r="D110" s="25">
        <v>213.0</v>
      </c>
      <c r="E110" s="25">
        <v>145543.0</v>
      </c>
    </row>
    <row r="111">
      <c r="A111" s="22" t="s">
        <v>168</v>
      </c>
      <c r="B111" s="23" t="s">
        <v>175</v>
      </c>
      <c r="C111" s="24" t="s">
        <v>176</v>
      </c>
      <c r="D111" s="25">
        <v>944.0</v>
      </c>
      <c r="E111" s="25">
        <v>320342.0</v>
      </c>
    </row>
    <row r="112">
      <c r="A112" s="22" t="s">
        <v>168</v>
      </c>
      <c r="B112" s="23" t="s">
        <v>177</v>
      </c>
      <c r="C112" s="24" t="s">
        <v>178</v>
      </c>
      <c r="D112" s="25">
        <v>191.0</v>
      </c>
      <c r="E112" s="25">
        <v>135435.0</v>
      </c>
    </row>
    <row r="113">
      <c r="A113" s="22" t="s">
        <v>168</v>
      </c>
      <c r="B113" s="23" t="s">
        <v>179</v>
      </c>
      <c r="C113" s="24" t="s">
        <v>180</v>
      </c>
      <c r="D113" s="25">
        <v>0.0</v>
      </c>
      <c r="E113" s="25">
        <v>25807.0</v>
      </c>
    </row>
    <row r="114">
      <c r="A114" s="22" t="s">
        <v>168</v>
      </c>
      <c r="B114" s="23" t="s">
        <v>181</v>
      </c>
      <c r="C114" s="4" t="s">
        <v>182</v>
      </c>
      <c r="D114" s="25">
        <v>23.0</v>
      </c>
      <c r="E114" s="25">
        <v>56525.0</v>
      </c>
    </row>
    <row r="115">
      <c r="A115" s="22" t="s">
        <v>168</v>
      </c>
      <c r="B115" s="23" t="s">
        <v>183</v>
      </c>
      <c r="C115" s="24" t="s">
        <v>184</v>
      </c>
      <c r="D115" s="25">
        <v>595.0</v>
      </c>
      <c r="E115" s="25">
        <v>75335.0</v>
      </c>
    </row>
    <row r="116">
      <c r="A116" s="22" t="s">
        <v>168</v>
      </c>
      <c r="B116" s="23" t="s">
        <v>185</v>
      </c>
      <c r="C116" s="24" t="s">
        <v>186</v>
      </c>
      <c r="D116" s="25">
        <v>590.0</v>
      </c>
      <c r="E116" s="25">
        <v>87934.0</v>
      </c>
    </row>
    <row r="117">
      <c r="A117" s="22" t="s">
        <v>168</v>
      </c>
      <c r="B117" s="23" t="s">
        <v>187</v>
      </c>
      <c r="C117" s="24" t="s">
        <v>188</v>
      </c>
      <c r="D117" s="25">
        <v>76.0</v>
      </c>
      <c r="E117" s="25">
        <v>89658.0</v>
      </c>
    </row>
    <row r="118">
      <c r="A118" s="22" t="s">
        <v>168</v>
      </c>
      <c r="B118" s="23" t="s">
        <v>189</v>
      </c>
      <c r="C118" s="24" t="s">
        <v>190</v>
      </c>
      <c r="D118" s="25">
        <v>11.0</v>
      </c>
      <c r="E118" s="25">
        <v>64711.0</v>
      </c>
    </row>
    <row r="119">
      <c r="A119" s="22" t="s">
        <v>168</v>
      </c>
      <c r="B119" s="23" t="s">
        <v>191</v>
      </c>
      <c r="C119" s="24" t="s">
        <v>192</v>
      </c>
      <c r="D119" s="25">
        <v>21.0</v>
      </c>
      <c r="E119" s="25">
        <v>56201.0</v>
      </c>
    </row>
    <row r="120">
      <c r="A120" s="22" t="s">
        <v>168</v>
      </c>
      <c r="B120" s="23" t="s">
        <v>193</v>
      </c>
      <c r="C120" s="24" t="s">
        <v>194</v>
      </c>
      <c r="D120" s="25">
        <v>35.0</v>
      </c>
      <c r="E120" s="25">
        <v>38230.0</v>
      </c>
    </row>
    <row r="121">
      <c r="A121" s="22" t="s">
        <v>168</v>
      </c>
      <c r="B121" s="23" t="s">
        <v>195</v>
      </c>
      <c r="C121" s="24" t="s">
        <v>196</v>
      </c>
      <c r="D121" s="25">
        <v>141.0</v>
      </c>
      <c r="E121" s="25">
        <v>97679.0</v>
      </c>
    </row>
    <row r="122">
      <c r="A122" s="22" t="s">
        <v>168</v>
      </c>
      <c r="B122" s="23" t="s">
        <v>197</v>
      </c>
      <c r="C122" s="24" t="s">
        <v>198</v>
      </c>
      <c r="D122" s="25">
        <v>713.0</v>
      </c>
      <c r="E122" s="25">
        <v>207932.0</v>
      </c>
    </row>
    <row r="123">
      <c r="A123" s="22" t="s">
        <v>168</v>
      </c>
      <c r="B123" s="23" t="s">
        <v>199</v>
      </c>
      <c r="C123" s="24" t="s">
        <v>200</v>
      </c>
      <c r="D123" s="25">
        <v>67.0</v>
      </c>
      <c r="E123" s="25">
        <v>59356.0</v>
      </c>
    </row>
    <row r="124">
      <c r="A124" s="22" t="s">
        <v>168</v>
      </c>
      <c r="B124" s="23" t="s">
        <v>201</v>
      </c>
      <c r="C124" s="24" t="s">
        <v>202</v>
      </c>
      <c r="D124" s="25">
        <v>218.0</v>
      </c>
      <c r="E124" s="25">
        <v>190119.0</v>
      </c>
    </row>
    <row r="125">
      <c r="A125" s="22" t="s">
        <v>168</v>
      </c>
      <c r="B125" s="23" t="s">
        <v>203</v>
      </c>
      <c r="C125" s="24" t="s">
        <v>204</v>
      </c>
      <c r="D125" s="25">
        <v>16.0</v>
      </c>
      <c r="E125" s="25">
        <v>115623.0</v>
      </c>
    </row>
    <row r="126">
      <c r="A126" s="22" t="s">
        <v>168</v>
      </c>
      <c r="B126" s="23" t="s">
        <v>205</v>
      </c>
      <c r="C126" s="24" t="s">
        <v>206</v>
      </c>
      <c r="D126" s="25">
        <v>115.0</v>
      </c>
      <c r="E126" s="25">
        <v>103622.0</v>
      </c>
    </row>
    <row r="127">
      <c r="A127" s="22" t="s">
        <v>168</v>
      </c>
      <c r="B127" s="23" t="s">
        <v>207</v>
      </c>
      <c r="C127" s="24" t="s">
        <v>208</v>
      </c>
      <c r="D127" s="25">
        <v>35.0</v>
      </c>
      <c r="E127" s="25">
        <v>43641.0</v>
      </c>
    </row>
    <row r="128">
      <c r="A128" s="22" t="s">
        <v>168</v>
      </c>
      <c r="B128" s="23" t="s">
        <v>209</v>
      </c>
      <c r="C128" s="24" t="s">
        <v>210</v>
      </c>
      <c r="D128" s="25">
        <v>397.0</v>
      </c>
      <c r="E128" s="25">
        <v>217449.0</v>
      </c>
    </row>
    <row r="129">
      <c r="A129" s="22" t="s">
        <v>168</v>
      </c>
      <c r="B129" s="23" t="s">
        <v>211</v>
      </c>
      <c r="C129" s="24" t="s">
        <v>212</v>
      </c>
      <c r="D129" s="25">
        <v>0.0</v>
      </c>
      <c r="E129" s="25">
        <v>66028.0</v>
      </c>
    </row>
    <row r="130">
      <c r="A130" s="26" t="s">
        <v>168</v>
      </c>
      <c r="B130" s="23" t="s">
        <v>213</v>
      </c>
      <c r="C130" s="24" t="s">
        <v>214</v>
      </c>
      <c r="D130" s="25">
        <v>851.0</v>
      </c>
      <c r="E130" s="25">
        <v>278034.0</v>
      </c>
    </row>
    <row r="131">
      <c r="A131" s="22" t="s">
        <v>215</v>
      </c>
      <c r="B131" s="23" t="s">
        <v>216</v>
      </c>
      <c r="C131" s="24" t="s">
        <v>217</v>
      </c>
      <c r="D131" s="25">
        <v>437.0</v>
      </c>
      <c r="E131" s="25">
        <v>50005.0</v>
      </c>
    </row>
    <row r="132">
      <c r="A132" s="22" t="s">
        <v>215</v>
      </c>
      <c r="B132" s="23" t="s">
        <v>219</v>
      </c>
      <c r="C132" s="24" t="s">
        <v>220</v>
      </c>
      <c r="D132" s="25">
        <v>39.0</v>
      </c>
      <c r="E132" s="25">
        <v>51461.0</v>
      </c>
    </row>
    <row r="133">
      <c r="A133" s="22" t="s">
        <v>215</v>
      </c>
      <c r="B133" s="23" t="s">
        <v>221</v>
      </c>
      <c r="C133" s="24" t="s">
        <v>222</v>
      </c>
      <c r="D133" s="25">
        <v>61.0</v>
      </c>
      <c r="E133" s="25">
        <v>58608.0</v>
      </c>
    </row>
    <row r="134">
      <c r="A134" s="22" t="s">
        <v>215</v>
      </c>
      <c r="B134" s="23" t="s">
        <v>223</v>
      </c>
      <c r="C134" s="24" t="s">
        <v>224</v>
      </c>
      <c r="D134" s="25">
        <v>63.0</v>
      </c>
      <c r="E134" s="25">
        <v>78212.0</v>
      </c>
    </row>
    <row r="135">
      <c r="A135" s="22" t="s">
        <v>215</v>
      </c>
      <c r="B135" s="23" t="s">
        <v>225</v>
      </c>
      <c r="C135" s="24" t="s">
        <v>226</v>
      </c>
      <c r="D135" s="25">
        <v>752.0</v>
      </c>
      <c r="E135" s="25">
        <v>103628.0</v>
      </c>
    </row>
    <row r="136">
      <c r="A136" s="22" t="s">
        <v>215</v>
      </c>
      <c r="B136" s="23" t="s">
        <v>227</v>
      </c>
      <c r="C136" s="24" t="s">
        <v>228</v>
      </c>
      <c r="D136" s="25">
        <v>160.0</v>
      </c>
      <c r="E136" s="25">
        <v>63371.0</v>
      </c>
    </row>
    <row r="137">
      <c r="A137" s="22" t="s">
        <v>215</v>
      </c>
      <c r="B137" s="23" t="s">
        <v>229</v>
      </c>
      <c r="C137" s="24" t="s">
        <v>230</v>
      </c>
      <c r="D137" s="25">
        <v>1146.0</v>
      </c>
      <c r="E137" s="25">
        <v>110281.0</v>
      </c>
    </row>
    <row r="138">
      <c r="A138" s="22" t="s">
        <v>215</v>
      </c>
      <c r="B138" s="23" t="s">
        <v>231</v>
      </c>
      <c r="C138" s="24" t="s">
        <v>232</v>
      </c>
      <c r="D138" s="25">
        <v>174.0</v>
      </c>
      <c r="E138" s="25">
        <v>69053.0</v>
      </c>
    </row>
    <row r="139">
      <c r="A139" s="22" t="s">
        <v>215</v>
      </c>
      <c r="B139" s="23" t="s">
        <v>233</v>
      </c>
      <c r="C139" s="24" t="s">
        <v>234</v>
      </c>
      <c r="D139" s="25">
        <v>233.0</v>
      </c>
      <c r="E139" s="25">
        <v>96300.0</v>
      </c>
    </row>
    <row r="140">
      <c r="A140" s="22" t="s">
        <v>215</v>
      </c>
      <c r="B140" s="23" t="s">
        <v>235</v>
      </c>
      <c r="C140" s="24" t="s">
        <v>236</v>
      </c>
      <c r="D140" s="25">
        <v>582.0</v>
      </c>
      <c r="E140" s="25">
        <v>92206.0</v>
      </c>
    </row>
    <row r="141">
      <c r="A141" s="22" t="s">
        <v>215</v>
      </c>
      <c r="B141" s="23" t="s">
        <v>237</v>
      </c>
      <c r="C141" s="24" t="s">
        <v>238</v>
      </c>
      <c r="D141" s="25">
        <v>50.0</v>
      </c>
      <c r="E141" s="25">
        <v>59659.0</v>
      </c>
    </row>
    <row r="142">
      <c r="A142" s="22" t="s">
        <v>215</v>
      </c>
      <c r="B142" s="23" t="s">
        <v>239</v>
      </c>
      <c r="C142" s="24" t="s">
        <v>240</v>
      </c>
      <c r="D142" s="25">
        <v>368.0</v>
      </c>
      <c r="E142" s="25">
        <v>84173.0</v>
      </c>
    </row>
    <row r="143">
      <c r="A143" s="22" t="s">
        <v>215</v>
      </c>
      <c r="B143" s="23" t="s">
        <v>241</v>
      </c>
      <c r="C143" s="24" t="s">
        <v>242</v>
      </c>
      <c r="D143" s="25">
        <v>147.0</v>
      </c>
      <c r="E143" s="25">
        <v>70187.0</v>
      </c>
    </row>
    <row r="144">
      <c r="A144" s="22" t="s">
        <v>215</v>
      </c>
      <c r="B144" s="23" t="s">
        <v>243</v>
      </c>
      <c r="C144" s="24" t="s">
        <v>244</v>
      </c>
      <c r="D144" s="25">
        <v>202.0</v>
      </c>
      <c r="E144" s="25">
        <v>50245.0</v>
      </c>
    </row>
    <row r="145">
      <c r="A145" s="22" t="s">
        <v>215</v>
      </c>
      <c r="B145" s="23" t="s">
        <v>245</v>
      </c>
      <c r="C145" s="24" t="s">
        <v>246</v>
      </c>
      <c r="D145" s="25">
        <v>222.0</v>
      </c>
      <c r="E145" s="25">
        <v>42889.0</v>
      </c>
    </row>
    <row r="146">
      <c r="A146" s="22" t="s">
        <v>215</v>
      </c>
      <c r="B146" s="23" t="s">
        <v>247</v>
      </c>
      <c r="C146" s="24" t="s">
        <v>248</v>
      </c>
      <c r="D146" s="25">
        <v>251.0</v>
      </c>
      <c r="E146" s="25">
        <v>62546.0</v>
      </c>
    </row>
    <row r="147">
      <c r="A147" s="22" t="s">
        <v>215</v>
      </c>
      <c r="B147" s="23" t="s">
        <v>249</v>
      </c>
      <c r="C147" s="24" t="s">
        <v>250</v>
      </c>
      <c r="D147" s="25">
        <v>89.0</v>
      </c>
      <c r="E147" s="25">
        <v>89927.0</v>
      </c>
    </row>
    <row r="148">
      <c r="A148" s="22" t="s">
        <v>215</v>
      </c>
      <c r="B148" s="23" t="s">
        <v>251</v>
      </c>
      <c r="C148" s="24" t="s">
        <v>252</v>
      </c>
      <c r="D148" s="25">
        <v>1130.0</v>
      </c>
      <c r="E148" s="25">
        <v>108754.0</v>
      </c>
    </row>
    <row r="149">
      <c r="A149" s="22" t="s">
        <v>215</v>
      </c>
      <c r="B149" s="23" t="s">
        <v>253</v>
      </c>
      <c r="C149" s="24" t="s">
        <v>254</v>
      </c>
      <c r="D149" s="25">
        <v>628.0</v>
      </c>
      <c r="E149" s="25">
        <v>71997.0</v>
      </c>
    </row>
    <row r="150">
      <c r="A150" s="22" t="s">
        <v>215</v>
      </c>
      <c r="B150" s="23" t="s">
        <v>255</v>
      </c>
      <c r="C150" s="24" t="s">
        <v>256</v>
      </c>
      <c r="D150" s="25">
        <v>118.0</v>
      </c>
      <c r="E150" s="25">
        <v>42312.0</v>
      </c>
    </row>
    <row r="151">
      <c r="A151" s="22" t="s">
        <v>215</v>
      </c>
      <c r="B151" s="23" t="s">
        <v>257</v>
      </c>
      <c r="C151" s="24" t="s">
        <v>258</v>
      </c>
      <c r="D151" s="25">
        <v>1257.0</v>
      </c>
      <c r="E151" s="25">
        <v>68002.0</v>
      </c>
    </row>
    <row r="152">
      <c r="A152" s="22" t="s">
        <v>215</v>
      </c>
      <c r="B152" s="23" t="s">
        <v>259</v>
      </c>
      <c r="C152" s="24" t="s">
        <v>260</v>
      </c>
      <c r="D152" s="25">
        <v>6.0</v>
      </c>
      <c r="E152" s="25">
        <v>44016.0</v>
      </c>
    </row>
    <row r="153">
      <c r="A153" s="22" t="s">
        <v>215</v>
      </c>
      <c r="B153" s="23" t="s">
        <v>261</v>
      </c>
      <c r="C153" s="24" t="s">
        <v>262</v>
      </c>
      <c r="D153" s="25">
        <v>413.0</v>
      </c>
      <c r="E153" s="25">
        <v>51486.0</v>
      </c>
    </row>
    <row r="154">
      <c r="A154" s="22" t="s">
        <v>215</v>
      </c>
      <c r="B154" s="23" t="s">
        <v>263</v>
      </c>
      <c r="C154" s="24" t="s">
        <v>264</v>
      </c>
      <c r="D154" s="25">
        <v>135.0</v>
      </c>
      <c r="E154" s="25">
        <v>96239.0</v>
      </c>
    </row>
    <row r="155">
      <c r="A155" s="22" t="s">
        <v>215</v>
      </c>
      <c r="B155" s="23" t="s">
        <v>265</v>
      </c>
      <c r="C155" s="24" t="s">
        <v>266</v>
      </c>
      <c r="D155" s="25">
        <v>813.0</v>
      </c>
      <c r="E155" s="25">
        <v>154654.0</v>
      </c>
    </row>
    <row r="156">
      <c r="A156" s="22" t="s">
        <v>215</v>
      </c>
      <c r="B156" s="23" t="s">
        <v>267</v>
      </c>
      <c r="C156" s="24" t="s">
        <v>268</v>
      </c>
      <c r="D156" s="25">
        <v>87.0</v>
      </c>
      <c r="E156" s="25">
        <v>32653.0</v>
      </c>
    </row>
    <row r="157">
      <c r="A157" s="22" t="s">
        <v>215</v>
      </c>
      <c r="B157" s="23" t="s">
        <v>269</v>
      </c>
      <c r="C157" s="24" t="s">
        <v>270</v>
      </c>
      <c r="D157" s="25">
        <v>454.0</v>
      </c>
      <c r="E157" s="25">
        <v>51257.0</v>
      </c>
    </row>
    <row r="158">
      <c r="A158" s="22" t="s">
        <v>215</v>
      </c>
      <c r="B158" s="23" t="s">
        <v>271</v>
      </c>
      <c r="C158" s="24" t="s">
        <v>272</v>
      </c>
      <c r="D158" s="25">
        <v>332.0</v>
      </c>
      <c r="E158" s="25">
        <v>59721.0</v>
      </c>
    </row>
    <row r="159">
      <c r="A159" s="22" t="s">
        <v>215</v>
      </c>
      <c r="B159" s="23" t="s">
        <v>273</v>
      </c>
      <c r="C159" s="24" t="s">
        <v>274</v>
      </c>
      <c r="D159" s="25">
        <v>128.0</v>
      </c>
      <c r="E159" s="25">
        <v>56203.0</v>
      </c>
    </row>
    <row r="160">
      <c r="A160" s="22" t="s">
        <v>215</v>
      </c>
      <c r="B160" s="23" t="s">
        <v>275</v>
      </c>
      <c r="C160" s="24" t="s">
        <v>276</v>
      </c>
      <c r="D160" s="25">
        <v>644.0</v>
      </c>
      <c r="E160" s="25">
        <v>70641.0</v>
      </c>
    </row>
    <row r="161">
      <c r="A161" s="22" t="s">
        <v>215</v>
      </c>
      <c r="B161" s="23" t="s">
        <v>277</v>
      </c>
      <c r="C161" s="24" t="s">
        <v>278</v>
      </c>
      <c r="D161" s="25">
        <v>450.0</v>
      </c>
      <c r="E161" s="25">
        <v>170002.0</v>
      </c>
    </row>
    <row r="162">
      <c r="A162" s="22" t="s">
        <v>215</v>
      </c>
      <c r="B162" s="23" t="s">
        <v>279</v>
      </c>
      <c r="C162" s="24" t="s">
        <v>280</v>
      </c>
      <c r="D162" s="25">
        <v>169.0</v>
      </c>
      <c r="E162" s="25">
        <v>62573.0</v>
      </c>
    </row>
    <row r="163">
      <c r="A163" s="22" t="s">
        <v>215</v>
      </c>
      <c r="B163" s="23" t="s">
        <v>281</v>
      </c>
      <c r="C163" s="24" t="s">
        <v>282</v>
      </c>
      <c r="D163" s="25">
        <v>214.0</v>
      </c>
      <c r="E163" s="25">
        <v>35477.0</v>
      </c>
    </row>
    <row r="164">
      <c r="A164" s="22" t="s">
        <v>215</v>
      </c>
      <c r="B164" s="23" t="s">
        <v>283</v>
      </c>
      <c r="C164" s="24" t="s">
        <v>284</v>
      </c>
      <c r="D164" s="25">
        <v>819.0</v>
      </c>
      <c r="E164" s="25">
        <v>100823.0</v>
      </c>
    </row>
    <row r="165">
      <c r="A165" s="22" t="s">
        <v>215</v>
      </c>
      <c r="B165" s="23" t="s">
        <v>285</v>
      </c>
      <c r="C165" s="24" t="s">
        <v>286</v>
      </c>
      <c r="D165" s="25">
        <v>315.0</v>
      </c>
      <c r="E165" s="25">
        <v>53650.0</v>
      </c>
    </row>
    <row r="166">
      <c r="A166" s="22" t="s">
        <v>215</v>
      </c>
      <c r="B166" s="23" t="s">
        <v>287</v>
      </c>
      <c r="C166" s="24" t="s">
        <v>288</v>
      </c>
      <c r="D166" s="25">
        <v>602.0</v>
      </c>
      <c r="E166" s="25">
        <v>76242.0</v>
      </c>
    </row>
    <row r="167">
      <c r="A167" s="22" t="s">
        <v>215</v>
      </c>
      <c r="B167" s="23" t="s">
        <v>289</v>
      </c>
      <c r="C167" s="24" t="s">
        <v>290</v>
      </c>
      <c r="D167" s="25">
        <v>43.0</v>
      </c>
      <c r="E167" s="25">
        <v>80409.0</v>
      </c>
    </row>
    <row r="168">
      <c r="A168" s="22" t="s">
        <v>215</v>
      </c>
      <c r="B168" s="23" t="s">
        <v>291</v>
      </c>
      <c r="C168" s="24" t="s">
        <v>292</v>
      </c>
      <c r="D168" s="25">
        <v>359.0</v>
      </c>
      <c r="E168" s="25">
        <v>67599.0</v>
      </c>
    </row>
    <row r="169">
      <c r="A169" s="22" t="s">
        <v>215</v>
      </c>
      <c r="B169" s="23" t="s">
        <v>293</v>
      </c>
      <c r="C169" s="24" t="s">
        <v>294</v>
      </c>
      <c r="D169" s="25">
        <v>22.0</v>
      </c>
      <c r="E169" s="25">
        <v>38090.0</v>
      </c>
    </row>
    <row r="170">
      <c r="A170" s="22" t="s">
        <v>215</v>
      </c>
      <c r="B170" s="23" t="s">
        <v>295</v>
      </c>
      <c r="C170" s="24" t="s">
        <v>296</v>
      </c>
      <c r="D170" s="25">
        <v>57.0</v>
      </c>
      <c r="E170" s="25">
        <v>54564.0</v>
      </c>
    </row>
    <row r="171">
      <c r="A171" s="22" t="s">
        <v>215</v>
      </c>
      <c r="B171" s="23" t="s">
        <v>297</v>
      </c>
      <c r="C171" s="24" t="s">
        <v>298</v>
      </c>
      <c r="D171" s="25">
        <v>270.0</v>
      </c>
      <c r="E171" s="25">
        <v>91941.0</v>
      </c>
    </row>
    <row r="172">
      <c r="A172" s="22" t="s">
        <v>215</v>
      </c>
      <c r="B172" s="23" t="s">
        <v>299</v>
      </c>
      <c r="C172" s="24" t="s">
        <v>300</v>
      </c>
      <c r="D172" s="25">
        <v>3354.0</v>
      </c>
      <c r="E172" s="25">
        <v>242492.0</v>
      </c>
    </row>
    <row r="173">
      <c r="A173" s="22" t="s">
        <v>215</v>
      </c>
      <c r="B173" s="23" t="s">
        <v>301</v>
      </c>
      <c r="C173" s="24" t="s">
        <v>302</v>
      </c>
      <c r="D173" s="25">
        <v>98.0</v>
      </c>
      <c r="E173" s="25">
        <v>49023.0</v>
      </c>
    </row>
    <row r="174">
      <c r="A174" s="26" t="s">
        <v>215</v>
      </c>
      <c r="B174" s="23" t="s">
        <v>303</v>
      </c>
      <c r="C174" s="24" t="s">
        <v>304</v>
      </c>
      <c r="D174" s="25">
        <v>275.0</v>
      </c>
      <c r="E174" s="25">
        <v>57874.0</v>
      </c>
    </row>
    <row r="175">
      <c r="A175" s="22" t="s">
        <v>305</v>
      </c>
      <c r="B175" s="23" t="s">
        <v>306</v>
      </c>
      <c r="C175" s="24" t="s">
        <v>307</v>
      </c>
      <c r="D175" s="25">
        <v>467.0</v>
      </c>
      <c r="E175" s="25">
        <v>98957.0</v>
      </c>
    </row>
    <row r="176">
      <c r="A176" s="22" t="s">
        <v>305</v>
      </c>
      <c r="B176" s="23" t="s">
        <v>308</v>
      </c>
      <c r="C176" s="24" t="s">
        <v>309</v>
      </c>
      <c r="D176" s="25">
        <v>839.0</v>
      </c>
      <c r="E176" s="25">
        <v>79516.0</v>
      </c>
    </row>
    <row r="177">
      <c r="A177" s="22" t="s">
        <v>305</v>
      </c>
      <c r="B177" s="23" t="s">
        <v>310</v>
      </c>
      <c r="C177" s="24" t="s">
        <v>311</v>
      </c>
      <c r="D177" s="25">
        <v>58.0</v>
      </c>
      <c r="E177" s="25">
        <v>74116.0</v>
      </c>
    </row>
    <row r="178">
      <c r="A178" s="22" t="s">
        <v>305</v>
      </c>
      <c r="B178" s="23" t="s">
        <v>312</v>
      </c>
      <c r="C178" s="24" t="s">
        <v>313</v>
      </c>
      <c r="D178" s="25">
        <v>1000.0</v>
      </c>
      <c r="E178" s="25">
        <v>65858.0</v>
      </c>
    </row>
    <row r="179">
      <c r="A179" s="22" t="s">
        <v>305</v>
      </c>
      <c r="B179" s="23" t="s">
        <v>314</v>
      </c>
      <c r="C179" s="24" t="s">
        <v>315</v>
      </c>
      <c r="D179" s="25">
        <v>102.0</v>
      </c>
      <c r="E179" s="25">
        <v>64533.0</v>
      </c>
    </row>
    <row r="180">
      <c r="A180" s="22" t="s">
        <v>305</v>
      </c>
      <c r="B180" s="23" t="s">
        <v>316</v>
      </c>
      <c r="C180" s="24" t="s">
        <v>317</v>
      </c>
      <c r="D180" s="25">
        <v>68.0</v>
      </c>
      <c r="E180" s="25">
        <v>53609.0</v>
      </c>
    </row>
    <row r="181">
      <c r="A181" s="22" t="s">
        <v>305</v>
      </c>
      <c r="B181" s="23" t="s">
        <v>318</v>
      </c>
      <c r="C181" s="24" t="s">
        <v>319</v>
      </c>
      <c r="D181" s="25">
        <v>0.0</v>
      </c>
      <c r="E181" s="25">
        <v>50263.0</v>
      </c>
    </row>
    <row r="182">
      <c r="A182" s="22" t="s">
        <v>305</v>
      </c>
      <c r="B182" s="23" t="s">
        <v>320</v>
      </c>
      <c r="C182" s="24" t="s">
        <v>321</v>
      </c>
      <c r="D182" s="25">
        <v>0.0</v>
      </c>
      <c r="E182" s="25">
        <v>75241.0</v>
      </c>
    </row>
    <row r="183">
      <c r="A183" s="22" t="s">
        <v>305</v>
      </c>
      <c r="B183" s="23" t="s">
        <v>322</v>
      </c>
      <c r="C183" s="24" t="s">
        <v>323</v>
      </c>
      <c r="D183" s="25">
        <v>254.0</v>
      </c>
      <c r="E183" s="25">
        <v>97249.0</v>
      </c>
    </row>
    <row r="184">
      <c r="A184" s="22" t="s">
        <v>305</v>
      </c>
      <c r="B184" s="23" t="s">
        <v>324</v>
      </c>
      <c r="C184" s="24" t="s">
        <v>325</v>
      </c>
      <c r="D184" s="25">
        <v>47.0</v>
      </c>
      <c r="E184" s="25">
        <v>75067.0</v>
      </c>
    </row>
    <row r="185">
      <c r="A185" s="22" t="s">
        <v>305</v>
      </c>
      <c r="B185" s="23" t="s">
        <v>326</v>
      </c>
      <c r="C185" s="24" t="s">
        <v>327</v>
      </c>
      <c r="D185" s="25">
        <v>65.0</v>
      </c>
      <c r="E185" s="25">
        <v>54716.0</v>
      </c>
    </row>
    <row r="186">
      <c r="A186" s="22" t="s">
        <v>305</v>
      </c>
      <c r="B186" s="23" t="s">
        <v>328</v>
      </c>
      <c r="C186" s="24" t="s">
        <v>329</v>
      </c>
      <c r="D186" s="25">
        <v>205.0</v>
      </c>
      <c r="E186" s="25">
        <v>81045.0</v>
      </c>
    </row>
    <row r="187">
      <c r="A187" s="22" t="s">
        <v>305</v>
      </c>
      <c r="B187" s="23" t="s">
        <v>330</v>
      </c>
      <c r="C187" s="24" t="s">
        <v>331</v>
      </c>
      <c r="D187" s="25">
        <v>125.0</v>
      </c>
      <c r="E187" s="25">
        <v>74992.0</v>
      </c>
    </row>
    <row r="188">
      <c r="A188" s="22" t="s">
        <v>305</v>
      </c>
      <c r="B188" s="23" t="s">
        <v>332</v>
      </c>
      <c r="C188" s="24" t="s">
        <v>333</v>
      </c>
      <c r="D188" s="25">
        <v>1110.0</v>
      </c>
      <c r="E188" s="25">
        <v>159310.0</v>
      </c>
    </row>
    <row r="189">
      <c r="A189" s="22" t="s">
        <v>305</v>
      </c>
      <c r="B189" s="23" t="s">
        <v>334</v>
      </c>
      <c r="C189" s="24" t="s">
        <v>335</v>
      </c>
      <c r="D189" s="25">
        <v>55.0</v>
      </c>
      <c r="E189" s="25">
        <v>56803.0</v>
      </c>
    </row>
    <row r="190">
      <c r="A190" s="22" t="s">
        <v>305</v>
      </c>
      <c r="B190" s="23" t="s">
        <v>336</v>
      </c>
      <c r="C190" s="24" t="s">
        <v>337</v>
      </c>
      <c r="D190" s="25">
        <v>690.0</v>
      </c>
      <c r="E190" s="25">
        <v>66715.0</v>
      </c>
    </row>
    <row r="191">
      <c r="A191" s="22" t="s">
        <v>305</v>
      </c>
      <c r="B191" s="23" t="s">
        <v>338</v>
      </c>
      <c r="C191" s="24" t="s">
        <v>339</v>
      </c>
      <c r="D191" s="25">
        <v>688.0</v>
      </c>
      <c r="E191" s="25">
        <v>118533.0</v>
      </c>
    </row>
    <row r="192">
      <c r="A192" s="22" t="s">
        <v>305</v>
      </c>
      <c r="B192" s="23" t="s">
        <v>340</v>
      </c>
      <c r="C192" s="24" t="s">
        <v>341</v>
      </c>
      <c r="D192" s="25">
        <v>466.0</v>
      </c>
      <c r="E192" s="25">
        <v>57926.0</v>
      </c>
    </row>
    <row r="193">
      <c r="A193" s="22" t="s">
        <v>305</v>
      </c>
      <c r="B193" s="23" t="s">
        <v>342</v>
      </c>
      <c r="C193" s="24" t="s">
        <v>343</v>
      </c>
      <c r="D193" s="25">
        <v>112.0</v>
      </c>
      <c r="E193" s="25">
        <v>93085.0</v>
      </c>
    </row>
    <row r="194">
      <c r="A194" s="22" t="s">
        <v>305</v>
      </c>
      <c r="B194" s="23" t="s">
        <v>344</v>
      </c>
      <c r="C194" s="24" t="s">
        <v>345</v>
      </c>
      <c r="D194" s="25">
        <v>74.0</v>
      </c>
      <c r="E194" s="25">
        <v>72371.0</v>
      </c>
    </row>
    <row r="195">
      <c r="A195" s="22" t="s">
        <v>305</v>
      </c>
      <c r="B195" s="23" t="s">
        <v>305</v>
      </c>
      <c r="C195" s="24" t="s">
        <v>346</v>
      </c>
      <c r="D195" s="25">
        <v>255.0</v>
      </c>
      <c r="E195" s="25">
        <v>189867.0</v>
      </c>
    </row>
    <row r="196">
      <c r="A196" s="22" t="s">
        <v>305</v>
      </c>
      <c r="B196" s="23" t="s">
        <v>347</v>
      </c>
      <c r="C196" s="24" t="s">
        <v>348</v>
      </c>
      <c r="D196" s="25">
        <v>27.0</v>
      </c>
      <c r="E196" s="25">
        <v>58042.0</v>
      </c>
    </row>
    <row r="197">
      <c r="A197" s="22" t="s">
        <v>305</v>
      </c>
      <c r="B197" s="23" t="s">
        <v>349</v>
      </c>
      <c r="C197" s="24" t="s">
        <v>350</v>
      </c>
      <c r="D197" s="25">
        <v>220.0</v>
      </c>
      <c r="E197" s="25">
        <v>36993.0</v>
      </c>
    </row>
    <row r="198">
      <c r="A198" s="22" t="s">
        <v>305</v>
      </c>
      <c r="B198" s="23" t="s">
        <v>351</v>
      </c>
      <c r="C198" s="24" t="s">
        <v>352</v>
      </c>
      <c r="D198" s="25">
        <v>1725.0</v>
      </c>
      <c r="E198" s="25">
        <v>68708.0</v>
      </c>
    </row>
    <row r="199">
      <c r="A199" s="22" t="s">
        <v>305</v>
      </c>
      <c r="B199" s="23" t="s">
        <v>353</v>
      </c>
      <c r="C199" s="24" t="s">
        <v>354</v>
      </c>
      <c r="D199" s="25">
        <v>35.0</v>
      </c>
      <c r="E199" s="25">
        <v>121392.0</v>
      </c>
    </row>
    <row r="200">
      <c r="A200" s="22" t="s">
        <v>305</v>
      </c>
      <c r="B200" s="23" t="s">
        <v>355</v>
      </c>
      <c r="C200" s="24" t="s">
        <v>356</v>
      </c>
      <c r="D200" s="25">
        <v>0.0</v>
      </c>
      <c r="E200" s="25">
        <v>83284.0</v>
      </c>
    </row>
    <row r="201">
      <c r="A201" s="22" t="s">
        <v>305</v>
      </c>
      <c r="B201" s="23" t="s">
        <v>357</v>
      </c>
      <c r="C201" s="24" t="s">
        <v>358</v>
      </c>
      <c r="D201" s="25">
        <v>641.0</v>
      </c>
      <c r="E201" s="25">
        <v>86268.0</v>
      </c>
    </row>
    <row r="202">
      <c r="A202" s="22" t="s">
        <v>305</v>
      </c>
      <c r="B202" s="23" t="s">
        <v>359</v>
      </c>
      <c r="C202" s="24" t="s">
        <v>360</v>
      </c>
      <c r="D202" s="25">
        <v>65.0</v>
      </c>
      <c r="E202" s="25">
        <v>43985.0</v>
      </c>
    </row>
    <row r="203">
      <c r="A203" s="22" t="s">
        <v>305</v>
      </c>
      <c r="B203" s="23" t="s">
        <v>361</v>
      </c>
      <c r="C203" s="24" t="s">
        <v>362</v>
      </c>
      <c r="D203" s="25">
        <v>25.0</v>
      </c>
      <c r="E203" s="25">
        <v>60778.0</v>
      </c>
    </row>
    <row r="204">
      <c r="A204" s="22" t="s">
        <v>305</v>
      </c>
      <c r="B204" s="23" t="s">
        <v>363</v>
      </c>
      <c r="C204" s="24" t="s">
        <v>364</v>
      </c>
      <c r="D204" s="25">
        <v>10.0</v>
      </c>
      <c r="E204" s="25">
        <v>75542.0</v>
      </c>
    </row>
    <row r="205">
      <c r="A205" s="22" t="s">
        <v>305</v>
      </c>
      <c r="B205" s="23" t="s">
        <v>365</v>
      </c>
      <c r="C205" s="24" t="s">
        <v>366</v>
      </c>
      <c r="D205" s="25">
        <v>0.0</v>
      </c>
      <c r="E205" s="25">
        <v>51828.0</v>
      </c>
    </row>
    <row r="206">
      <c r="A206" s="22" t="s">
        <v>305</v>
      </c>
      <c r="B206" s="23" t="s">
        <v>367</v>
      </c>
      <c r="C206" s="24" t="s">
        <v>368</v>
      </c>
      <c r="D206" s="25">
        <v>1.0</v>
      </c>
      <c r="E206" s="25">
        <v>71220.0</v>
      </c>
    </row>
    <row r="207">
      <c r="A207" s="22" t="s">
        <v>305</v>
      </c>
      <c r="B207" s="23" t="s">
        <v>369</v>
      </c>
      <c r="C207" s="24" t="s">
        <v>370</v>
      </c>
      <c r="D207" s="25">
        <v>108.0</v>
      </c>
      <c r="E207" s="25">
        <v>47572.0</v>
      </c>
    </row>
    <row r="208">
      <c r="A208" s="26" t="s">
        <v>305</v>
      </c>
      <c r="B208" s="23" t="s">
        <v>371</v>
      </c>
      <c r="C208" s="24" t="s">
        <v>372</v>
      </c>
      <c r="D208" s="25">
        <v>188.0</v>
      </c>
      <c r="E208" s="25">
        <v>41289.0</v>
      </c>
    </row>
    <row r="209">
      <c r="A209" s="22" t="s">
        <v>373</v>
      </c>
      <c r="B209" s="23" t="s">
        <v>374</v>
      </c>
      <c r="C209" s="24" t="s">
        <v>375</v>
      </c>
      <c r="D209" s="25">
        <v>71539.0</v>
      </c>
      <c r="E209" s="25">
        <v>73432.0</v>
      </c>
    </row>
    <row r="210">
      <c r="A210" s="22" t="s">
        <v>373</v>
      </c>
      <c r="B210" s="23" t="s">
        <v>376</v>
      </c>
      <c r="C210" s="24" t="s">
        <v>377</v>
      </c>
      <c r="D210" s="25">
        <v>165577.0</v>
      </c>
      <c r="E210" s="25">
        <v>169419.0</v>
      </c>
    </row>
    <row r="211">
      <c r="A211" s="22" t="s">
        <v>373</v>
      </c>
      <c r="B211" s="23" t="s">
        <v>378</v>
      </c>
      <c r="C211" s="24" t="s">
        <v>379</v>
      </c>
      <c r="D211" s="25">
        <v>172899.0</v>
      </c>
      <c r="E211" s="25">
        <v>174788.0</v>
      </c>
    </row>
    <row r="212">
      <c r="A212" s="22" t="s">
        <v>373</v>
      </c>
      <c r="B212" s="23" t="s">
        <v>380</v>
      </c>
      <c r="C212" s="24" t="s">
        <v>381</v>
      </c>
      <c r="D212" s="25">
        <v>88032.0</v>
      </c>
      <c r="E212" s="25">
        <v>90927.0</v>
      </c>
    </row>
    <row r="213">
      <c r="A213" s="22" t="s">
        <v>373</v>
      </c>
      <c r="B213" s="23" t="s">
        <v>382</v>
      </c>
      <c r="C213" s="24" t="s">
        <v>383</v>
      </c>
      <c r="D213" s="25">
        <v>161437.0</v>
      </c>
      <c r="E213" s="25">
        <v>168241.0</v>
      </c>
    </row>
    <row r="214">
      <c r="A214" s="22" t="s">
        <v>373</v>
      </c>
      <c r="B214" s="23" t="s">
        <v>384</v>
      </c>
      <c r="C214" s="24" t="s">
        <v>385</v>
      </c>
      <c r="D214" s="25">
        <v>195231.0</v>
      </c>
      <c r="E214" s="25">
        <v>199413.0</v>
      </c>
    </row>
    <row r="215">
      <c r="A215" s="22" t="s">
        <v>373</v>
      </c>
      <c r="B215" s="23" t="s">
        <v>386</v>
      </c>
      <c r="C215" s="24" t="s">
        <v>387</v>
      </c>
      <c r="D215" s="25">
        <v>99020.0</v>
      </c>
      <c r="E215" s="25">
        <v>103201.0</v>
      </c>
    </row>
    <row r="216">
      <c r="A216" s="22" t="s">
        <v>373</v>
      </c>
      <c r="B216" s="23" t="s">
        <v>388</v>
      </c>
      <c r="C216" s="24" t="s">
        <v>389</v>
      </c>
      <c r="D216" s="25">
        <v>118177.0</v>
      </c>
      <c r="E216" s="25">
        <v>122724.0</v>
      </c>
    </row>
    <row r="217">
      <c r="A217" s="22" t="s">
        <v>373</v>
      </c>
      <c r="B217" s="23" t="s">
        <v>390</v>
      </c>
      <c r="C217" s="24" t="s">
        <v>391</v>
      </c>
      <c r="D217" s="25">
        <v>90822.0</v>
      </c>
      <c r="E217" s="25">
        <v>94722.0</v>
      </c>
    </row>
    <row r="218">
      <c r="A218" s="22" t="s">
        <v>373</v>
      </c>
      <c r="B218" s="23" t="s">
        <v>392</v>
      </c>
      <c r="C218" s="24" t="s">
        <v>393</v>
      </c>
      <c r="D218" s="25">
        <v>116634.0</v>
      </c>
      <c r="E218" s="25">
        <v>116142.0</v>
      </c>
    </row>
    <row r="219">
      <c r="A219" s="22" t="s">
        <v>373</v>
      </c>
      <c r="B219" s="23" t="s">
        <v>394</v>
      </c>
      <c r="C219" s="24" t="s">
        <v>395</v>
      </c>
      <c r="D219" s="25">
        <v>140095.0</v>
      </c>
      <c r="E219" s="25">
        <v>144053.0</v>
      </c>
    </row>
    <row r="220">
      <c r="A220" s="22" t="s">
        <v>373</v>
      </c>
      <c r="B220" s="23" t="s">
        <v>396</v>
      </c>
      <c r="C220" s="24" t="s">
        <v>397</v>
      </c>
      <c r="D220" s="25">
        <v>73234.0</v>
      </c>
      <c r="E220" s="25">
        <v>76103.0</v>
      </c>
    </row>
    <row r="221">
      <c r="A221" s="22" t="s">
        <v>373</v>
      </c>
      <c r="B221" s="23" t="s">
        <v>876</v>
      </c>
      <c r="C221" s="1" t="s">
        <v>399</v>
      </c>
      <c r="D221" s="25">
        <v>141359.0</v>
      </c>
      <c r="E221" s="25">
        <v>142851.0</v>
      </c>
    </row>
    <row r="222">
      <c r="A222" s="22" t="s">
        <v>373</v>
      </c>
      <c r="B222" s="23" t="s">
        <v>400</v>
      </c>
      <c r="C222" s="24" t="s">
        <v>401</v>
      </c>
      <c r="D222" s="25">
        <v>116582.0</v>
      </c>
      <c r="E222" s="25">
        <v>122043.0</v>
      </c>
    </row>
    <row r="223">
      <c r="A223" s="22" t="s">
        <v>373</v>
      </c>
      <c r="B223" s="23" t="s">
        <v>402</v>
      </c>
      <c r="C223" s="24" t="s">
        <v>403</v>
      </c>
      <c r="D223" s="25">
        <v>125247.0</v>
      </c>
      <c r="E223" s="25">
        <v>127448.0</v>
      </c>
    </row>
    <row r="224">
      <c r="A224" s="22" t="s">
        <v>373</v>
      </c>
      <c r="B224" s="23" t="s">
        <v>404</v>
      </c>
      <c r="C224" s="24" t="s">
        <v>405</v>
      </c>
      <c r="D224" s="25">
        <v>134229.0</v>
      </c>
      <c r="E224" s="25">
        <v>142060.0</v>
      </c>
    </row>
    <row r="225">
      <c r="A225" s="22" t="s">
        <v>373</v>
      </c>
      <c r="B225" s="23" t="s">
        <v>406</v>
      </c>
      <c r="C225" s="24" t="s">
        <v>407</v>
      </c>
      <c r="D225" s="25">
        <v>138043.0</v>
      </c>
      <c r="E225" s="25">
        <v>145891.0</v>
      </c>
    </row>
    <row r="226">
      <c r="A226" s="22" t="s">
        <v>373</v>
      </c>
      <c r="B226" s="23" t="s">
        <v>408</v>
      </c>
      <c r="C226" s="24" t="s">
        <v>409</v>
      </c>
      <c r="D226" s="25">
        <v>105892.0</v>
      </c>
      <c r="E226" s="25">
        <v>111492.0</v>
      </c>
    </row>
    <row r="227">
      <c r="A227" s="22" t="s">
        <v>373</v>
      </c>
      <c r="B227" s="23" t="s">
        <v>629</v>
      </c>
      <c r="C227" s="24" t="s">
        <v>411</v>
      </c>
      <c r="D227" s="25">
        <v>200271.0</v>
      </c>
      <c r="E227" s="25">
        <v>208686.0</v>
      </c>
    </row>
    <row r="228">
      <c r="A228" s="22" t="s">
        <v>373</v>
      </c>
      <c r="B228" s="23" t="s">
        <v>412</v>
      </c>
      <c r="C228" s="24" t="s">
        <v>413</v>
      </c>
      <c r="D228" s="25">
        <v>106306.0</v>
      </c>
      <c r="E228" s="25">
        <v>108701.0</v>
      </c>
    </row>
    <row r="229">
      <c r="A229" s="26" t="s">
        <v>373</v>
      </c>
      <c r="B229" s="23" t="s">
        <v>414</v>
      </c>
      <c r="C229" s="24" t="s">
        <v>415</v>
      </c>
      <c r="D229" s="25">
        <v>129582.0</v>
      </c>
      <c r="E229" s="25">
        <v>133518.0</v>
      </c>
    </row>
    <row r="230">
      <c r="A230" s="22" t="s">
        <v>877</v>
      </c>
      <c r="B230" s="23" t="s">
        <v>878</v>
      </c>
      <c r="C230" s="24" t="s">
        <v>879</v>
      </c>
      <c r="D230" s="25">
        <v>118.0</v>
      </c>
      <c r="E230" s="25">
        <v>39195.0</v>
      </c>
    </row>
    <row r="231">
      <c r="A231" s="22" t="s">
        <v>877</v>
      </c>
      <c r="B231" s="23" t="s">
        <v>880</v>
      </c>
      <c r="C231" s="24" t="s">
        <v>881</v>
      </c>
      <c r="D231" s="25">
        <v>168.0</v>
      </c>
      <c r="E231" s="25">
        <v>87463.0</v>
      </c>
    </row>
    <row r="232">
      <c r="A232" s="22" t="s">
        <v>877</v>
      </c>
      <c r="B232" s="23" t="s">
        <v>882</v>
      </c>
      <c r="C232" s="24" t="s">
        <v>883</v>
      </c>
      <c r="D232" s="25">
        <v>63.0</v>
      </c>
      <c r="E232" s="25">
        <v>80086.0</v>
      </c>
    </row>
    <row r="233">
      <c r="A233" s="22" t="s">
        <v>877</v>
      </c>
      <c r="B233" s="23" t="s">
        <v>884</v>
      </c>
      <c r="C233" s="24" t="s">
        <v>885</v>
      </c>
      <c r="D233" s="25">
        <v>0.0</v>
      </c>
      <c r="E233" s="25">
        <v>15113.0</v>
      </c>
    </row>
    <row r="234">
      <c r="A234" s="22" t="s">
        <v>877</v>
      </c>
      <c r="B234" s="23" t="s">
        <v>886</v>
      </c>
      <c r="C234" s="24" t="s">
        <v>887</v>
      </c>
      <c r="D234" s="25">
        <v>171.0</v>
      </c>
      <c r="E234" s="25">
        <v>46969.0</v>
      </c>
    </row>
    <row r="235">
      <c r="A235" s="22" t="s">
        <v>877</v>
      </c>
      <c r="B235" s="23" t="s">
        <v>888</v>
      </c>
      <c r="C235" s="24" t="s">
        <v>889</v>
      </c>
      <c r="D235" s="25">
        <v>36.0</v>
      </c>
      <c r="E235" s="25">
        <v>61343.0</v>
      </c>
    </row>
    <row r="236">
      <c r="A236" s="22" t="s">
        <v>877</v>
      </c>
      <c r="B236" s="23" t="s">
        <v>890</v>
      </c>
      <c r="C236" s="24" t="s">
        <v>891</v>
      </c>
      <c r="D236" s="25">
        <v>80.0</v>
      </c>
      <c r="E236" s="25">
        <v>79503.0</v>
      </c>
    </row>
    <row r="237">
      <c r="A237" s="22" t="s">
        <v>877</v>
      </c>
      <c r="B237" s="23" t="s">
        <v>892</v>
      </c>
      <c r="C237" s="24" t="s">
        <v>893</v>
      </c>
      <c r="D237" s="25">
        <v>24.0</v>
      </c>
      <c r="E237" s="25">
        <v>120555.0</v>
      </c>
    </row>
    <row r="238">
      <c r="A238" s="22" t="s">
        <v>877</v>
      </c>
      <c r="B238" s="23" t="s">
        <v>894</v>
      </c>
      <c r="C238" s="24" t="s">
        <v>895</v>
      </c>
      <c r="D238" s="25">
        <v>35.0</v>
      </c>
      <c r="E238" s="25">
        <v>33939.0</v>
      </c>
    </row>
    <row r="239">
      <c r="A239" s="22" t="s">
        <v>877</v>
      </c>
      <c r="B239" s="23" t="s">
        <v>896</v>
      </c>
      <c r="C239" s="24" t="s">
        <v>897</v>
      </c>
      <c r="D239" s="25">
        <v>12.0</v>
      </c>
      <c r="E239" s="25">
        <v>17927.0</v>
      </c>
    </row>
    <row r="240">
      <c r="A240" s="22" t="s">
        <v>877</v>
      </c>
      <c r="B240" s="23" t="s">
        <v>898</v>
      </c>
      <c r="C240" s="24" t="s">
        <v>899</v>
      </c>
      <c r="D240" s="25">
        <v>0.0</v>
      </c>
      <c r="E240" s="25">
        <v>46536.0</v>
      </c>
    </row>
    <row r="241">
      <c r="A241" s="22" t="s">
        <v>877</v>
      </c>
      <c r="B241" s="23" t="s">
        <v>900</v>
      </c>
      <c r="C241" s="24" t="s">
        <v>901</v>
      </c>
      <c r="D241" s="25">
        <v>80.0</v>
      </c>
      <c r="E241" s="25">
        <v>51477.0</v>
      </c>
    </row>
    <row r="242">
      <c r="A242" s="22" t="s">
        <v>877</v>
      </c>
      <c r="B242" s="23" t="s">
        <v>902</v>
      </c>
      <c r="C242" s="24" t="s">
        <v>903</v>
      </c>
      <c r="D242" s="25">
        <v>29.0</v>
      </c>
      <c r="E242" s="25">
        <v>31723.0</v>
      </c>
    </row>
    <row r="243">
      <c r="A243" s="22" t="s">
        <v>877</v>
      </c>
      <c r="B243" s="23" t="s">
        <v>904</v>
      </c>
      <c r="C243" s="24" t="s">
        <v>905</v>
      </c>
      <c r="D243" s="25">
        <v>0.0</v>
      </c>
      <c r="E243" s="25">
        <v>20620.0</v>
      </c>
    </row>
    <row r="244">
      <c r="A244" s="22" t="s">
        <v>877</v>
      </c>
      <c r="B244" s="23" t="s">
        <v>906</v>
      </c>
      <c r="C244" s="24" t="s">
        <v>907</v>
      </c>
      <c r="D244" s="25">
        <v>0.0</v>
      </c>
      <c r="E244" s="25">
        <v>31528.0</v>
      </c>
    </row>
    <row r="245">
      <c r="A245" s="26" t="s">
        <v>877</v>
      </c>
      <c r="B245" s="23" t="s">
        <v>908</v>
      </c>
      <c r="C245" s="24" t="s">
        <v>909</v>
      </c>
      <c r="D245" s="25">
        <v>97.0</v>
      </c>
      <c r="E245" s="25">
        <v>29954.0</v>
      </c>
    </row>
    <row r="246">
      <c r="A246" s="22" t="s">
        <v>910</v>
      </c>
      <c r="B246" s="23" t="s">
        <v>911</v>
      </c>
      <c r="C246" s="24" t="s">
        <v>912</v>
      </c>
      <c r="D246" s="25">
        <v>134.0</v>
      </c>
      <c r="E246" s="25">
        <v>72394.0</v>
      </c>
    </row>
    <row r="247">
      <c r="A247" s="22" t="s">
        <v>910</v>
      </c>
      <c r="B247" s="23" t="s">
        <v>913</v>
      </c>
      <c r="C247" s="24" t="s">
        <v>914</v>
      </c>
      <c r="D247" s="25">
        <v>1702.0</v>
      </c>
      <c r="E247" s="25">
        <v>105820.0</v>
      </c>
    </row>
    <row r="248">
      <c r="A248" s="22" t="s">
        <v>910</v>
      </c>
      <c r="B248" s="23" t="s">
        <v>915</v>
      </c>
      <c r="C248" s="24" t="s">
        <v>916</v>
      </c>
      <c r="D248" s="25">
        <v>634.0</v>
      </c>
      <c r="E248" s="25">
        <v>82804.0</v>
      </c>
    </row>
    <row r="249">
      <c r="A249" s="22" t="s">
        <v>910</v>
      </c>
      <c r="B249" s="23" t="s">
        <v>917</v>
      </c>
      <c r="C249" s="24" t="s">
        <v>918</v>
      </c>
      <c r="D249" s="25">
        <v>917.0</v>
      </c>
      <c r="E249" s="25">
        <v>353167.0</v>
      </c>
    </row>
    <row r="250">
      <c r="A250" s="22" t="s">
        <v>910</v>
      </c>
      <c r="B250" s="23" t="s">
        <v>919</v>
      </c>
      <c r="C250" s="24" t="s">
        <v>920</v>
      </c>
      <c r="D250" s="25">
        <v>104.0</v>
      </c>
      <c r="E250" s="25">
        <v>40669.0</v>
      </c>
    </row>
    <row r="251">
      <c r="A251" s="22" t="s">
        <v>910</v>
      </c>
      <c r="B251" s="23" t="s">
        <v>921</v>
      </c>
      <c r="C251" s="24" t="s">
        <v>922</v>
      </c>
      <c r="D251" s="25">
        <v>560.0</v>
      </c>
      <c r="E251" s="25">
        <v>77722.0</v>
      </c>
    </row>
    <row r="252">
      <c r="A252" s="22" t="s">
        <v>910</v>
      </c>
      <c r="B252" s="23" t="s">
        <v>923</v>
      </c>
      <c r="C252" s="24" t="s">
        <v>924</v>
      </c>
      <c r="D252" s="25">
        <v>539.0</v>
      </c>
      <c r="E252" s="25">
        <v>64543.0</v>
      </c>
    </row>
    <row r="253">
      <c r="A253" s="22" t="s">
        <v>910</v>
      </c>
      <c r="B253" s="23" t="s">
        <v>925</v>
      </c>
      <c r="C253" s="24" t="s">
        <v>926</v>
      </c>
      <c r="D253" s="25">
        <v>98.0</v>
      </c>
      <c r="E253" s="25">
        <v>211513.0</v>
      </c>
    </row>
    <row r="254">
      <c r="A254" s="22" t="s">
        <v>910</v>
      </c>
      <c r="B254" s="23" t="s">
        <v>910</v>
      </c>
      <c r="C254" s="24" t="s">
        <v>927</v>
      </c>
      <c r="D254" s="25">
        <v>413.0</v>
      </c>
      <c r="E254" s="25">
        <v>135008.0</v>
      </c>
    </row>
    <row r="255">
      <c r="A255" s="22" t="s">
        <v>910</v>
      </c>
      <c r="B255" s="23" t="s">
        <v>928</v>
      </c>
      <c r="C255" s="24" t="s">
        <v>929</v>
      </c>
      <c r="D255" s="25">
        <v>24.0</v>
      </c>
      <c r="E255" s="25">
        <v>92107.0</v>
      </c>
    </row>
    <row r="256">
      <c r="A256" s="22" t="s">
        <v>910</v>
      </c>
      <c r="B256" s="23" t="s">
        <v>930</v>
      </c>
      <c r="C256" s="24" t="s">
        <v>931</v>
      </c>
      <c r="D256" s="25">
        <v>179.0</v>
      </c>
      <c r="E256" s="25">
        <v>86756.0</v>
      </c>
    </row>
    <row r="257">
      <c r="A257" s="22" t="s">
        <v>910</v>
      </c>
      <c r="B257" s="23" t="s">
        <v>932</v>
      </c>
      <c r="C257" s="24" t="s">
        <v>933</v>
      </c>
      <c r="D257" s="25">
        <v>164.0</v>
      </c>
      <c r="E257" s="25">
        <v>62147.0</v>
      </c>
    </row>
    <row r="258">
      <c r="A258" s="26" t="s">
        <v>910</v>
      </c>
      <c r="B258" s="23" t="s">
        <v>934</v>
      </c>
      <c r="C258" s="24" t="s">
        <v>935</v>
      </c>
      <c r="D258" s="25">
        <v>328.0</v>
      </c>
      <c r="E258" s="25">
        <v>36164.0</v>
      </c>
    </row>
    <row r="259">
      <c r="A259" s="22" t="s">
        <v>936</v>
      </c>
      <c r="B259" s="23" t="s">
        <v>937</v>
      </c>
      <c r="C259" s="24" t="s">
        <v>938</v>
      </c>
      <c r="D259" s="25">
        <v>26.0</v>
      </c>
      <c r="E259" s="25">
        <v>87541.0</v>
      </c>
    </row>
    <row r="260">
      <c r="A260" s="22" t="s">
        <v>936</v>
      </c>
      <c r="B260" s="23" t="s">
        <v>939</v>
      </c>
      <c r="C260" s="24" t="s">
        <v>940</v>
      </c>
      <c r="D260" s="25">
        <v>445.0</v>
      </c>
      <c r="E260" s="25">
        <v>44587.0</v>
      </c>
    </row>
    <row r="261">
      <c r="A261" s="22" t="s">
        <v>936</v>
      </c>
      <c r="B261" s="23" t="s">
        <v>941</v>
      </c>
      <c r="C261" s="24" t="s">
        <v>942</v>
      </c>
      <c r="D261" s="25">
        <v>0.0</v>
      </c>
      <c r="E261" s="25">
        <v>72393.0</v>
      </c>
    </row>
    <row r="262">
      <c r="A262" s="22" t="s">
        <v>936</v>
      </c>
      <c r="B262" s="23" t="s">
        <v>943</v>
      </c>
      <c r="C262" s="24" t="s">
        <v>944</v>
      </c>
      <c r="D262" s="25">
        <v>19.0</v>
      </c>
      <c r="E262" s="25">
        <v>120761.0</v>
      </c>
    </row>
    <row r="263">
      <c r="A263" s="22" t="s">
        <v>936</v>
      </c>
      <c r="B263" s="23" t="s">
        <v>945</v>
      </c>
      <c r="C263" s="24" t="s">
        <v>946</v>
      </c>
      <c r="D263" s="25">
        <v>74.0</v>
      </c>
      <c r="E263" s="25">
        <v>74167.0</v>
      </c>
    </row>
    <row r="264">
      <c r="A264" s="22" t="s">
        <v>936</v>
      </c>
      <c r="B264" s="23" t="s">
        <v>947</v>
      </c>
      <c r="C264" s="24" t="s">
        <v>948</v>
      </c>
      <c r="D264" s="25">
        <v>150.0</v>
      </c>
      <c r="E264" s="25">
        <v>94658.0</v>
      </c>
    </row>
    <row r="265">
      <c r="A265" s="22" t="s">
        <v>936</v>
      </c>
      <c r="B265" s="23" t="s">
        <v>949</v>
      </c>
      <c r="C265" s="24" t="s">
        <v>950</v>
      </c>
      <c r="D265" s="25">
        <v>212.0</v>
      </c>
      <c r="E265" s="25">
        <v>63562.0</v>
      </c>
    </row>
    <row r="266">
      <c r="A266" s="22" t="s">
        <v>936</v>
      </c>
      <c r="B266" s="23" t="s">
        <v>951</v>
      </c>
      <c r="C266" s="24" t="s">
        <v>952</v>
      </c>
      <c r="D266" s="25">
        <v>0.0</v>
      </c>
      <c r="E266" s="25">
        <v>103657.0</v>
      </c>
    </row>
    <row r="267">
      <c r="A267" s="22" t="s">
        <v>936</v>
      </c>
      <c r="B267" s="23" t="s">
        <v>953</v>
      </c>
      <c r="C267" s="24" t="s">
        <v>954</v>
      </c>
      <c r="D267" s="25">
        <v>155.0</v>
      </c>
      <c r="E267" s="25">
        <v>59157.0</v>
      </c>
    </row>
    <row r="268">
      <c r="A268" s="22" t="s">
        <v>936</v>
      </c>
      <c r="B268" s="23" t="s">
        <v>955</v>
      </c>
      <c r="C268" s="24" t="s">
        <v>956</v>
      </c>
      <c r="D268" s="25">
        <v>54.0</v>
      </c>
      <c r="E268" s="25">
        <v>112494.0</v>
      </c>
    </row>
    <row r="269">
      <c r="A269" s="22" t="s">
        <v>936</v>
      </c>
      <c r="B269" s="23" t="s">
        <v>957</v>
      </c>
      <c r="C269" s="24" t="s">
        <v>958</v>
      </c>
      <c r="D269" s="25">
        <v>0.0</v>
      </c>
      <c r="E269" s="25">
        <v>83604.0</v>
      </c>
    </row>
    <row r="270">
      <c r="A270" s="22" t="s">
        <v>936</v>
      </c>
      <c r="B270" s="23" t="s">
        <v>959</v>
      </c>
      <c r="C270" s="24" t="s">
        <v>960</v>
      </c>
      <c r="D270" s="25">
        <v>84.0</v>
      </c>
      <c r="E270" s="25">
        <v>140003.0</v>
      </c>
    </row>
    <row r="271">
      <c r="A271" s="22" t="s">
        <v>936</v>
      </c>
      <c r="B271" s="23" t="s">
        <v>961</v>
      </c>
      <c r="C271" s="24" t="s">
        <v>962</v>
      </c>
      <c r="D271" s="25">
        <v>85.0</v>
      </c>
      <c r="E271" s="25">
        <v>117640.0</v>
      </c>
    </row>
    <row r="272">
      <c r="A272" s="22" t="s">
        <v>936</v>
      </c>
      <c r="B272" s="23" t="s">
        <v>963</v>
      </c>
      <c r="C272" s="24" t="s">
        <v>964</v>
      </c>
      <c r="D272" s="25">
        <v>0.0</v>
      </c>
      <c r="E272" s="25">
        <v>102149.0</v>
      </c>
    </row>
    <row r="273">
      <c r="A273" s="22" t="s">
        <v>936</v>
      </c>
      <c r="B273" s="23" t="s">
        <v>965</v>
      </c>
      <c r="C273" s="24" t="s">
        <v>966</v>
      </c>
      <c r="D273" s="25">
        <v>219.0</v>
      </c>
      <c r="E273" s="25">
        <v>128920.0</v>
      </c>
    </row>
    <row r="274">
      <c r="A274" s="22" t="s">
        <v>936</v>
      </c>
      <c r="B274" s="23" t="s">
        <v>967</v>
      </c>
      <c r="C274" s="24" t="s">
        <v>968</v>
      </c>
      <c r="D274" s="25">
        <v>223.0</v>
      </c>
      <c r="E274" s="25">
        <v>207318.0</v>
      </c>
    </row>
    <row r="275">
      <c r="A275" s="22" t="s">
        <v>936</v>
      </c>
      <c r="B275" s="23" t="s">
        <v>969</v>
      </c>
      <c r="C275" s="24" t="s">
        <v>970</v>
      </c>
      <c r="D275" s="25">
        <v>147.0</v>
      </c>
      <c r="E275" s="25">
        <v>100951.0</v>
      </c>
    </row>
    <row r="276">
      <c r="A276" s="22" t="s">
        <v>936</v>
      </c>
      <c r="B276" s="23" t="s">
        <v>971</v>
      </c>
      <c r="C276" s="24" t="s">
        <v>972</v>
      </c>
      <c r="D276" s="25">
        <v>33.0</v>
      </c>
      <c r="E276" s="25">
        <v>53199.0</v>
      </c>
    </row>
    <row r="277">
      <c r="A277" s="22" t="s">
        <v>936</v>
      </c>
      <c r="B277" s="23" t="s">
        <v>973</v>
      </c>
      <c r="C277" s="24" t="s">
        <v>974</v>
      </c>
      <c r="D277" s="25">
        <v>256.0</v>
      </c>
      <c r="E277" s="25">
        <v>80661.0</v>
      </c>
    </row>
    <row r="278">
      <c r="A278" s="22" t="s">
        <v>936</v>
      </c>
      <c r="B278" s="23" t="s">
        <v>975</v>
      </c>
      <c r="C278" s="24" t="s">
        <v>976</v>
      </c>
      <c r="D278" s="25">
        <v>105.0</v>
      </c>
      <c r="E278" s="25">
        <v>98835.0</v>
      </c>
    </row>
    <row r="279">
      <c r="A279" s="22" t="s">
        <v>936</v>
      </c>
      <c r="B279" s="23" t="s">
        <v>977</v>
      </c>
      <c r="C279" s="24" t="s">
        <v>978</v>
      </c>
      <c r="D279" s="25">
        <v>0.0</v>
      </c>
      <c r="E279" s="25">
        <v>89365.0</v>
      </c>
    </row>
    <row r="280">
      <c r="A280" s="22" t="s">
        <v>936</v>
      </c>
      <c r="B280" s="23" t="s">
        <v>979</v>
      </c>
      <c r="C280" s="24" t="s">
        <v>980</v>
      </c>
      <c r="D280" s="25">
        <v>0.0</v>
      </c>
      <c r="E280" s="25">
        <v>140168.0</v>
      </c>
    </row>
    <row r="281">
      <c r="A281" s="22" t="s">
        <v>936</v>
      </c>
      <c r="B281" s="23" t="s">
        <v>981</v>
      </c>
      <c r="C281" s="24" t="s">
        <v>982</v>
      </c>
      <c r="D281" s="25">
        <v>164.0</v>
      </c>
      <c r="E281" s="25">
        <v>100214.0</v>
      </c>
    </row>
    <row r="282">
      <c r="A282" s="22" t="s">
        <v>936</v>
      </c>
      <c r="B282" s="23" t="s">
        <v>983</v>
      </c>
      <c r="C282" s="24" t="s">
        <v>984</v>
      </c>
      <c r="D282" s="25">
        <v>246.0</v>
      </c>
      <c r="E282" s="25">
        <v>75862.0</v>
      </c>
    </row>
    <row r="283">
      <c r="A283" s="26" t="s">
        <v>936</v>
      </c>
      <c r="B283" s="23" t="s">
        <v>985</v>
      </c>
      <c r="C283" s="24" t="s">
        <v>986</v>
      </c>
      <c r="D283" s="25">
        <v>41.0</v>
      </c>
      <c r="E283" s="25">
        <v>49023.0</v>
      </c>
    </row>
    <row r="284">
      <c r="A284" s="22" t="s">
        <v>416</v>
      </c>
      <c r="B284" s="23" t="s">
        <v>417</v>
      </c>
      <c r="C284" s="24" t="s">
        <v>418</v>
      </c>
      <c r="D284" s="25">
        <v>55401.0</v>
      </c>
      <c r="E284" s="25">
        <v>55917.0</v>
      </c>
    </row>
    <row r="285">
      <c r="A285" s="22" t="s">
        <v>416</v>
      </c>
      <c r="B285" s="23" t="s">
        <v>419</v>
      </c>
      <c r="C285" s="24" t="s">
        <v>420</v>
      </c>
      <c r="D285" s="25">
        <v>99012.0</v>
      </c>
      <c r="E285" s="25">
        <v>101590.0</v>
      </c>
    </row>
    <row r="286">
      <c r="A286" s="22" t="s">
        <v>416</v>
      </c>
      <c r="B286" s="23" t="s">
        <v>421</v>
      </c>
      <c r="C286" s="4" t="s">
        <v>422</v>
      </c>
      <c r="D286" s="25">
        <v>102014.0</v>
      </c>
      <c r="E286" s="25">
        <v>109287.0</v>
      </c>
    </row>
    <row r="287">
      <c r="A287" s="22" t="s">
        <v>416</v>
      </c>
      <c r="B287" s="23" t="s">
        <v>423</v>
      </c>
      <c r="C287" s="24" t="s">
        <v>424</v>
      </c>
      <c r="D287" s="25">
        <v>151827.0</v>
      </c>
      <c r="E287" s="25">
        <v>159014.0</v>
      </c>
    </row>
    <row r="288">
      <c r="A288" s="22" t="s">
        <v>416</v>
      </c>
      <c r="B288" s="23" t="s">
        <v>425</v>
      </c>
      <c r="C288" s="24" t="s">
        <v>426</v>
      </c>
      <c r="D288" s="25">
        <v>115771.0</v>
      </c>
      <c r="E288" s="25">
        <v>119146.0</v>
      </c>
    </row>
    <row r="289">
      <c r="A289" s="22" t="s">
        <v>416</v>
      </c>
      <c r="B289" s="23" t="s">
        <v>427</v>
      </c>
      <c r="C289" s="24" t="s">
        <v>428</v>
      </c>
      <c r="D289" s="25">
        <v>51147.0</v>
      </c>
      <c r="E289" s="25">
        <v>54777.0</v>
      </c>
    </row>
    <row r="290">
      <c r="A290" s="22" t="s">
        <v>416</v>
      </c>
      <c r="B290" s="23" t="s">
        <v>429</v>
      </c>
      <c r="C290" s="24" t="s">
        <v>430</v>
      </c>
      <c r="D290" s="25">
        <v>127673.0</v>
      </c>
      <c r="E290" s="25">
        <v>130043.0</v>
      </c>
    </row>
    <row r="291">
      <c r="A291" s="22" t="s">
        <v>416</v>
      </c>
      <c r="B291" s="23" t="s">
        <v>431</v>
      </c>
      <c r="C291" s="24" t="s">
        <v>432</v>
      </c>
      <c r="D291" s="25">
        <v>116718.0</v>
      </c>
      <c r="E291" s="25">
        <v>118938.0</v>
      </c>
    </row>
    <row r="292">
      <c r="A292" s="22" t="s">
        <v>416</v>
      </c>
      <c r="B292" s="23" t="s">
        <v>433</v>
      </c>
      <c r="C292" s="24" t="s">
        <v>434</v>
      </c>
      <c r="D292" s="25">
        <v>89947.0</v>
      </c>
      <c r="E292" s="25">
        <v>92279.0</v>
      </c>
    </row>
    <row r="293">
      <c r="A293" s="22" t="s">
        <v>416</v>
      </c>
      <c r="B293" s="23" t="s">
        <v>435</v>
      </c>
      <c r="C293" s="24" t="s">
        <v>436</v>
      </c>
      <c r="D293" s="25">
        <v>72818.0</v>
      </c>
      <c r="E293" s="25">
        <v>74275.0</v>
      </c>
    </row>
    <row r="294">
      <c r="A294" s="22" t="s">
        <v>416</v>
      </c>
      <c r="B294" s="23" t="s">
        <v>437</v>
      </c>
      <c r="C294" s="24" t="s">
        <v>438</v>
      </c>
      <c r="D294" s="25">
        <v>132789.0</v>
      </c>
      <c r="E294" s="25">
        <v>137951.0</v>
      </c>
    </row>
    <row r="295">
      <c r="A295" s="22" t="s">
        <v>416</v>
      </c>
      <c r="B295" s="23" t="s">
        <v>439</v>
      </c>
      <c r="C295" s="24" t="s">
        <v>440</v>
      </c>
      <c r="D295" s="25">
        <v>86329.0</v>
      </c>
      <c r="E295" s="25">
        <v>86621.0</v>
      </c>
    </row>
    <row r="296">
      <c r="A296" s="22" t="s">
        <v>416</v>
      </c>
      <c r="B296" s="23" t="s">
        <v>441</v>
      </c>
      <c r="C296" s="24" t="s">
        <v>442</v>
      </c>
      <c r="D296" s="25">
        <v>106972.0</v>
      </c>
      <c r="E296" s="25">
        <v>110349.0</v>
      </c>
    </row>
    <row r="297">
      <c r="A297" s="22" t="s">
        <v>416</v>
      </c>
      <c r="B297" s="23" t="s">
        <v>443</v>
      </c>
      <c r="C297" s="24" t="s">
        <v>444</v>
      </c>
      <c r="D297" s="25">
        <v>95255.0</v>
      </c>
      <c r="E297" s="25">
        <v>100028.0</v>
      </c>
    </row>
    <row r="298">
      <c r="A298" s="22" t="s">
        <v>416</v>
      </c>
      <c r="B298" s="23" t="s">
        <v>445</v>
      </c>
      <c r="C298" s="24" t="s">
        <v>446</v>
      </c>
      <c r="D298" s="25">
        <v>64906.0</v>
      </c>
      <c r="E298" s="25">
        <v>67081.0</v>
      </c>
    </row>
    <row r="299">
      <c r="A299" s="22" t="s">
        <v>416</v>
      </c>
      <c r="B299" s="23" t="s">
        <v>447</v>
      </c>
      <c r="C299" s="24" t="s">
        <v>448</v>
      </c>
      <c r="D299" s="25">
        <v>73287.0</v>
      </c>
      <c r="E299" s="25">
        <v>78189.0</v>
      </c>
    </row>
    <row r="300">
      <c r="A300" s="22" t="s">
        <v>416</v>
      </c>
      <c r="B300" s="23" t="s">
        <v>449</v>
      </c>
      <c r="C300" s="24" t="s">
        <v>450</v>
      </c>
      <c r="D300" s="25">
        <v>72106.0</v>
      </c>
      <c r="E300" s="25">
        <v>80661.0</v>
      </c>
    </row>
    <row r="301">
      <c r="A301" s="22" t="s">
        <v>416</v>
      </c>
      <c r="B301" s="23" t="s">
        <v>451</v>
      </c>
      <c r="C301" s="24" t="s">
        <v>452</v>
      </c>
      <c r="D301" s="25">
        <v>133904.0</v>
      </c>
      <c r="E301" s="25">
        <v>137641.0</v>
      </c>
    </row>
    <row r="302">
      <c r="A302" s="22" t="s">
        <v>416</v>
      </c>
      <c r="B302" s="23" t="s">
        <v>453</v>
      </c>
      <c r="C302" s="24" t="s">
        <v>454</v>
      </c>
      <c r="D302" s="25">
        <v>48228.0</v>
      </c>
      <c r="E302" s="25">
        <v>60495.0</v>
      </c>
    </row>
    <row r="303">
      <c r="A303" s="22" t="s">
        <v>416</v>
      </c>
      <c r="B303" s="23" t="s">
        <v>455</v>
      </c>
      <c r="C303" s="24" t="s">
        <v>456</v>
      </c>
      <c r="D303" s="25">
        <v>51257.0</v>
      </c>
      <c r="E303" s="25">
        <v>54985.0</v>
      </c>
    </row>
    <row r="304">
      <c r="A304" s="22" t="s">
        <v>416</v>
      </c>
      <c r="B304" s="23" t="s">
        <v>457</v>
      </c>
      <c r="C304" s="24" t="s">
        <v>458</v>
      </c>
      <c r="D304" s="25">
        <v>125116.0</v>
      </c>
      <c r="E304" s="25">
        <v>129931.0</v>
      </c>
    </row>
    <row r="305">
      <c r="A305" s="22" t="s">
        <v>416</v>
      </c>
      <c r="B305" s="23" t="s">
        <v>459</v>
      </c>
      <c r="C305" s="24" t="s">
        <v>460</v>
      </c>
      <c r="D305" s="25">
        <v>113203.0</v>
      </c>
      <c r="E305" s="25">
        <v>116791.0</v>
      </c>
    </row>
    <row r="306">
      <c r="A306" s="26" t="s">
        <v>416</v>
      </c>
      <c r="B306" s="23" t="s">
        <v>461</v>
      </c>
      <c r="C306" s="24" t="s">
        <v>462</v>
      </c>
      <c r="D306" s="25">
        <v>77053.0</v>
      </c>
      <c r="E306" s="25">
        <v>79877.0</v>
      </c>
    </row>
    <row r="307">
      <c r="A307" s="22" t="s">
        <v>463</v>
      </c>
      <c r="B307" s="23" t="s">
        <v>464</v>
      </c>
      <c r="C307" s="24" t="s">
        <v>465</v>
      </c>
      <c r="D307" s="25">
        <v>95.0</v>
      </c>
      <c r="E307" s="25">
        <v>112742.0</v>
      </c>
    </row>
    <row r="308">
      <c r="A308" s="22" t="s">
        <v>463</v>
      </c>
      <c r="B308" s="23" t="s">
        <v>466</v>
      </c>
      <c r="C308" s="24" t="s">
        <v>467</v>
      </c>
      <c r="D308" s="25">
        <v>58.0</v>
      </c>
      <c r="E308" s="25">
        <v>87536.0</v>
      </c>
    </row>
    <row r="309">
      <c r="A309" s="22" t="s">
        <v>463</v>
      </c>
      <c r="B309" s="23" t="s">
        <v>468</v>
      </c>
      <c r="C309" s="24" t="s">
        <v>469</v>
      </c>
      <c r="D309" s="25">
        <v>178.0</v>
      </c>
      <c r="E309" s="25">
        <v>104287.0</v>
      </c>
    </row>
    <row r="310">
      <c r="A310" s="22" t="s">
        <v>463</v>
      </c>
      <c r="B310" s="23" t="s">
        <v>470</v>
      </c>
      <c r="C310" s="24" t="s">
        <v>471</v>
      </c>
      <c r="D310" s="25">
        <v>276.0</v>
      </c>
      <c r="E310" s="25">
        <v>117897.0</v>
      </c>
    </row>
    <row r="311">
      <c r="A311" s="22" t="s">
        <v>463</v>
      </c>
      <c r="B311" s="23" t="s">
        <v>472</v>
      </c>
      <c r="C311" s="24" t="s">
        <v>473</v>
      </c>
      <c r="D311" s="25">
        <v>97.0</v>
      </c>
      <c r="E311" s="25">
        <v>119453.0</v>
      </c>
    </row>
    <row r="312">
      <c r="A312" s="22" t="s">
        <v>463</v>
      </c>
      <c r="B312" s="23" t="s">
        <v>474</v>
      </c>
      <c r="C312" s="24" t="s">
        <v>475</v>
      </c>
      <c r="D312" s="25">
        <v>326.0</v>
      </c>
      <c r="E312" s="25">
        <v>64626.0</v>
      </c>
    </row>
    <row r="313">
      <c r="A313" s="22" t="s">
        <v>463</v>
      </c>
      <c r="B313" s="23" t="s">
        <v>476</v>
      </c>
      <c r="C313" s="24" t="s">
        <v>477</v>
      </c>
      <c r="D313" s="25">
        <v>3.0</v>
      </c>
      <c r="E313" s="25">
        <v>43993.0</v>
      </c>
    </row>
    <row r="314">
      <c r="A314" s="22" t="s">
        <v>463</v>
      </c>
      <c r="B314" s="23" t="s">
        <v>478</v>
      </c>
      <c r="C314" s="24" t="s">
        <v>479</v>
      </c>
      <c r="D314" s="25">
        <v>222.0</v>
      </c>
      <c r="E314" s="25">
        <v>67539.0</v>
      </c>
    </row>
    <row r="315">
      <c r="A315" s="22" t="s">
        <v>463</v>
      </c>
      <c r="B315" s="23" t="s">
        <v>480</v>
      </c>
      <c r="C315" s="24" t="s">
        <v>481</v>
      </c>
      <c r="D315" s="25">
        <v>92.0</v>
      </c>
      <c r="E315" s="25">
        <v>105561.0</v>
      </c>
    </row>
    <row r="316">
      <c r="A316" s="22" t="s">
        <v>463</v>
      </c>
      <c r="B316" s="23" t="s">
        <v>482</v>
      </c>
      <c r="C316" s="24" t="s">
        <v>483</v>
      </c>
      <c r="D316" s="25">
        <v>95.0</v>
      </c>
      <c r="E316" s="25">
        <v>56385.0</v>
      </c>
    </row>
    <row r="317">
      <c r="A317" s="22" t="s">
        <v>463</v>
      </c>
      <c r="B317" s="23" t="s">
        <v>484</v>
      </c>
      <c r="C317" s="24" t="s">
        <v>485</v>
      </c>
      <c r="D317" s="25">
        <v>270.0</v>
      </c>
      <c r="E317" s="25">
        <v>44575.0</v>
      </c>
    </row>
    <row r="318">
      <c r="A318" s="22" t="s">
        <v>463</v>
      </c>
      <c r="B318" s="23" t="s">
        <v>486</v>
      </c>
      <c r="C318" s="24" t="s">
        <v>487</v>
      </c>
      <c r="D318" s="25">
        <v>68.0</v>
      </c>
      <c r="E318" s="25">
        <v>61034.0</v>
      </c>
    </row>
    <row r="319">
      <c r="A319" s="22" t="s">
        <v>463</v>
      </c>
      <c r="B319" s="23" t="s">
        <v>488</v>
      </c>
      <c r="C319" s="24" t="s">
        <v>489</v>
      </c>
      <c r="D319" s="25">
        <v>52.0</v>
      </c>
      <c r="E319" s="25">
        <v>65542.0</v>
      </c>
    </row>
    <row r="320">
      <c r="A320" s="22" t="s">
        <v>463</v>
      </c>
      <c r="B320" s="23" t="s">
        <v>490</v>
      </c>
      <c r="C320" s="24" t="s">
        <v>491</v>
      </c>
      <c r="D320" s="25">
        <v>237.0</v>
      </c>
      <c r="E320" s="25">
        <v>239110.0</v>
      </c>
    </row>
    <row r="321">
      <c r="A321" s="22" t="s">
        <v>463</v>
      </c>
      <c r="B321" s="23" t="s">
        <v>492</v>
      </c>
      <c r="C321" s="24" t="s">
        <v>493</v>
      </c>
      <c r="D321" s="25">
        <v>276.0</v>
      </c>
      <c r="E321" s="25">
        <v>42207.0</v>
      </c>
    </row>
    <row r="322">
      <c r="A322" s="22" t="s">
        <v>463</v>
      </c>
      <c r="B322" s="23" t="s">
        <v>494</v>
      </c>
      <c r="C322" s="24" t="s">
        <v>495</v>
      </c>
      <c r="D322" s="25">
        <v>908.0</v>
      </c>
      <c r="E322" s="25">
        <v>57266.0</v>
      </c>
    </row>
    <row r="323">
      <c r="A323" s="26" t="s">
        <v>463</v>
      </c>
      <c r="B323" s="23" t="s">
        <v>496</v>
      </c>
      <c r="C323" s="24" t="s">
        <v>497</v>
      </c>
      <c r="D323" s="25">
        <v>204.0</v>
      </c>
      <c r="E323" s="25">
        <v>58999.0</v>
      </c>
    </row>
    <row r="324">
      <c r="A324" s="22" t="s">
        <v>498</v>
      </c>
      <c r="B324" s="23" t="s">
        <v>499</v>
      </c>
      <c r="C324" s="24" t="s">
        <v>500</v>
      </c>
      <c r="D324" s="25">
        <v>141431.0</v>
      </c>
      <c r="E324" s="25">
        <v>152592.0</v>
      </c>
    </row>
    <row r="325">
      <c r="A325" s="22" t="s">
        <v>498</v>
      </c>
      <c r="B325" s="23" t="s">
        <v>501</v>
      </c>
      <c r="C325" s="24" t="s">
        <v>502</v>
      </c>
      <c r="D325" s="25">
        <v>105547.0</v>
      </c>
      <c r="E325" s="25">
        <v>113177.0</v>
      </c>
    </row>
    <row r="326">
      <c r="A326" s="22" t="s">
        <v>498</v>
      </c>
      <c r="B326" s="23" t="s">
        <v>503</v>
      </c>
      <c r="C326" s="3" t="s">
        <v>504</v>
      </c>
      <c r="D326" s="25">
        <v>158551.0</v>
      </c>
      <c r="E326" s="25">
        <v>163501.0</v>
      </c>
    </row>
    <row r="327">
      <c r="A327" s="22" t="s">
        <v>498</v>
      </c>
      <c r="B327" s="23" t="s">
        <v>505</v>
      </c>
      <c r="C327" s="24" t="s">
        <v>506</v>
      </c>
      <c r="D327" s="25">
        <v>184371.0</v>
      </c>
      <c r="E327" s="25">
        <v>187838.0</v>
      </c>
    </row>
    <row r="328">
      <c r="A328" s="22" t="s">
        <v>498</v>
      </c>
      <c r="B328" s="23" t="s">
        <v>507</v>
      </c>
      <c r="C328" s="24" t="s">
        <v>508</v>
      </c>
      <c r="D328" s="25">
        <v>261786.0</v>
      </c>
      <c r="E328" s="25">
        <v>275729.0</v>
      </c>
    </row>
    <row r="329">
      <c r="A329" s="22" t="s">
        <v>498</v>
      </c>
      <c r="B329" s="23" t="s">
        <v>509</v>
      </c>
      <c r="C329" s="24" t="s">
        <v>510</v>
      </c>
      <c r="D329" s="25">
        <v>192849.0</v>
      </c>
      <c r="E329" s="25">
        <v>197678.0</v>
      </c>
    </row>
    <row r="330">
      <c r="A330" s="22" t="s">
        <v>498</v>
      </c>
      <c r="B330" s="23" t="s">
        <v>511</v>
      </c>
      <c r="C330" s="24" t="s">
        <v>512</v>
      </c>
      <c r="D330" s="25">
        <v>452876.0</v>
      </c>
      <c r="E330" s="25">
        <v>475884.0</v>
      </c>
    </row>
    <row r="331">
      <c r="A331" s="22" t="s">
        <v>498</v>
      </c>
      <c r="B331" s="23" t="s">
        <v>513</v>
      </c>
      <c r="C331" s="24" t="s">
        <v>514</v>
      </c>
      <c r="D331" s="25">
        <v>212801.0</v>
      </c>
      <c r="E331" s="25">
        <v>220394.0</v>
      </c>
    </row>
    <row r="332">
      <c r="A332" s="22" t="s">
        <v>498</v>
      </c>
      <c r="B332" s="23" t="s">
        <v>515</v>
      </c>
      <c r="C332" s="24" t="s">
        <v>516</v>
      </c>
      <c r="D332" s="25">
        <v>167462.0</v>
      </c>
      <c r="E332" s="25">
        <v>169992.0</v>
      </c>
    </row>
    <row r="333">
      <c r="A333" s="22" t="s">
        <v>498</v>
      </c>
      <c r="B333" s="23" t="s">
        <v>517</v>
      </c>
      <c r="C333" s="24" t="s">
        <v>518</v>
      </c>
      <c r="D333" s="25">
        <v>230277.0</v>
      </c>
      <c r="E333" s="25">
        <v>257926.0</v>
      </c>
    </row>
    <row r="334">
      <c r="A334" s="22" t="s">
        <v>498</v>
      </c>
      <c r="B334" s="23" t="s">
        <v>519</v>
      </c>
      <c r="C334" s="24" t="s">
        <v>520</v>
      </c>
      <c r="D334" s="25">
        <v>102832.0</v>
      </c>
      <c r="E334" s="25">
        <v>108648.0</v>
      </c>
    </row>
    <row r="335">
      <c r="A335" s="22" t="s">
        <v>498</v>
      </c>
      <c r="B335" s="23" t="s">
        <v>521</v>
      </c>
      <c r="C335" s="24" t="s">
        <v>522</v>
      </c>
      <c r="D335" s="25">
        <v>164671.0</v>
      </c>
      <c r="E335" s="25">
        <v>178771.0</v>
      </c>
    </row>
    <row r="336">
      <c r="A336" s="22" t="s">
        <v>498</v>
      </c>
      <c r="B336" s="23" t="s">
        <v>523</v>
      </c>
      <c r="C336" s="24" t="s">
        <v>524</v>
      </c>
      <c r="D336" s="25">
        <v>225868.0</v>
      </c>
      <c r="E336" s="25">
        <v>238861.0</v>
      </c>
    </row>
    <row r="337">
      <c r="A337" s="26" t="s">
        <v>498</v>
      </c>
      <c r="B337" s="23" t="s">
        <v>525</v>
      </c>
      <c r="C337" s="24" t="s">
        <v>526</v>
      </c>
      <c r="D337" s="25">
        <v>217298.0</v>
      </c>
      <c r="E337" s="25">
        <v>225364.0</v>
      </c>
    </row>
    <row r="338">
      <c r="C338" s="27"/>
    </row>
    <row r="339">
      <c r="C339" s="27"/>
    </row>
    <row r="340">
      <c r="C340" s="27"/>
    </row>
    <row r="341">
      <c r="C341" s="27"/>
    </row>
    <row r="342">
      <c r="C342" s="27"/>
    </row>
    <row r="343">
      <c r="C343" s="27"/>
    </row>
    <row r="344">
      <c r="C344" s="27"/>
    </row>
    <row r="345">
      <c r="C345" s="27"/>
    </row>
    <row r="346">
      <c r="C346" s="27"/>
    </row>
    <row r="347">
      <c r="C347" s="27"/>
    </row>
    <row r="348">
      <c r="C348" s="27"/>
    </row>
    <row r="349">
      <c r="C349" s="27"/>
    </row>
    <row r="350">
      <c r="C350" s="27"/>
    </row>
    <row r="351">
      <c r="C351" s="27"/>
    </row>
    <row r="352">
      <c r="C352" s="27"/>
    </row>
    <row r="353">
      <c r="C353" s="27"/>
    </row>
    <row r="354">
      <c r="C354" s="27"/>
    </row>
    <row r="355">
      <c r="C355" s="27"/>
    </row>
    <row r="356">
      <c r="C356" s="27"/>
    </row>
    <row r="357">
      <c r="C357" s="27"/>
    </row>
    <row r="358">
      <c r="C358" s="27"/>
    </row>
    <row r="359">
      <c r="C359" s="27"/>
    </row>
    <row r="360">
      <c r="C360" s="27"/>
    </row>
    <row r="361">
      <c r="C361" s="27"/>
    </row>
    <row r="362">
      <c r="C362" s="27"/>
    </row>
    <row r="363">
      <c r="C363" s="27"/>
    </row>
    <row r="364">
      <c r="C364" s="27"/>
    </row>
    <row r="365">
      <c r="C365" s="27"/>
    </row>
    <row r="366">
      <c r="C366" s="27"/>
    </row>
    <row r="367">
      <c r="C367" s="27"/>
    </row>
    <row r="368">
      <c r="C368" s="27"/>
    </row>
    <row r="369">
      <c r="C369" s="27"/>
    </row>
    <row r="370">
      <c r="C370" s="27"/>
    </row>
    <row r="371">
      <c r="C371" s="27"/>
    </row>
    <row r="372">
      <c r="C372" s="27"/>
    </row>
    <row r="373">
      <c r="C373" s="27"/>
    </row>
    <row r="374">
      <c r="C374" s="27"/>
    </row>
    <row r="375">
      <c r="C375" s="27"/>
    </row>
    <row r="376">
      <c r="C376" s="27"/>
    </row>
    <row r="377">
      <c r="C377" s="27"/>
    </row>
    <row r="378">
      <c r="C378" s="27"/>
    </row>
    <row r="379">
      <c r="C379" s="27"/>
    </row>
    <row r="380">
      <c r="C380" s="27"/>
    </row>
    <row r="381">
      <c r="C381" s="27"/>
    </row>
    <row r="382">
      <c r="C382" s="27"/>
    </row>
    <row r="383">
      <c r="C383" s="27"/>
    </row>
    <row r="384">
      <c r="C384" s="27"/>
    </row>
    <row r="385">
      <c r="C385" s="27"/>
    </row>
    <row r="386">
      <c r="C386" s="27"/>
    </row>
    <row r="387">
      <c r="C387" s="27"/>
    </row>
    <row r="388">
      <c r="C388" s="27"/>
    </row>
    <row r="389">
      <c r="C389" s="27"/>
    </row>
    <row r="390">
      <c r="C390" s="27"/>
    </row>
    <row r="391">
      <c r="C391" s="27"/>
    </row>
    <row r="392">
      <c r="C392" s="27"/>
    </row>
    <row r="393">
      <c r="C393" s="27"/>
    </row>
    <row r="394">
      <c r="C394" s="27"/>
    </row>
    <row r="395">
      <c r="C395" s="27"/>
    </row>
    <row r="396">
      <c r="C396" s="27"/>
    </row>
    <row r="397">
      <c r="C397" s="27"/>
    </row>
    <row r="398">
      <c r="C398" s="27"/>
    </row>
    <row r="399">
      <c r="C399" s="27"/>
    </row>
    <row r="400">
      <c r="C400" s="27"/>
    </row>
    <row r="401">
      <c r="C401" s="27"/>
    </row>
    <row r="402">
      <c r="C402" s="27"/>
    </row>
    <row r="403">
      <c r="C403" s="27"/>
    </row>
    <row r="404">
      <c r="C404" s="27"/>
    </row>
    <row r="405">
      <c r="C405" s="27"/>
    </row>
    <row r="406">
      <c r="C406" s="27"/>
    </row>
    <row r="407">
      <c r="C407" s="27"/>
    </row>
    <row r="408">
      <c r="C408" s="27"/>
    </row>
    <row r="409">
      <c r="C409" s="27"/>
    </row>
    <row r="410">
      <c r="C410" s="27"/>
    </row>
    <row r="411">
      <c r="C411" s="27"/>
    </row>
    <row r="412">
      <c r="C412" s="27"/>
    </row>
    <row r="413">
      <c r="C413" s="27"/>
    </row>
    <row r="414">
      <c r="C414" s="27"/>
    </row>
    <row r="415">
      <c r="C415" s="27"/>
    </row>
    <row r="416">
      <c r="C416" s="27"/>
    </row>
    <row r="417">
      <c r="C417" s="27"/>
    </row>
    <row r="418">
      <c r="C418" s="27"/>
    </row>
    <row r="419">
      <c r="C419" s="27"/>
    </row>
    <row r="420">
      <c r="C420" s="27"/>
    </row>
    <row r="421">
      <c r="C421" s="27"/>
    </row>
    <row r="422">
      <c r="C422" s="27"/>
    </row>
    <row r="423">
      <c r="C423" s="27"/>
    </row>
    <row r="424">
      <c r="C424" s="27"/>
    </row>
    <row r="425">
      <c r="C425" s="27"/>
    </row>
    <row r="426">
      <c r="C426" s="27"/>
    </row>
    <row r="427">
      <c r="C427" s="27"/>
    </row>
    <row r="428">
      <c r="C428" s="27"/>
    </row>
    <row r="429">
      <c r="C429" s="27"/>
    </row>
    <row r="430">
      <c r="C430" s="27"/>
    </row>
    <row r="431">
      <c r="C431" s="27"/>
    </row>
    <row r="432">
      <c r="C432" s="27"/>
    </row>
    <row r="433">
      <c r="C433" s="27"/>
    </row>
    <row r="434">
      <c r="C434" s="27"/>
    </row>
    <row r="435">
      <c r="C435" s="27"/>
    </row>
    <row r="436">
      <c r="C436" s="27"/>
    </row>
    <row r="437">
      <c r="C437" s="27"/>
    </row>
    <row r="438">
      <c r="C438" s="27"/>
    </row>
    <row r="439">
      <c r="C439" s="27"/>
    </row>
    <row r="440">
      <c r="C440" s="27"/>
    </row>
    <row r="441">
      <c r="C441" s="27"/>
    </row>
    <row r="442">
      <c r="C442" s="27"/>
    </row>
    <row r="443">
      <c r="C443" s="27"/>
    </row>
    <row r="444">
      <c r="C444" s="27"/>
    </row>
    <row r="445">
      <c r="C445" s="27"/>
    </row>
    <row r="446">
      <c r="C446" s="27"/>
    </row>
    <row r="447">
      <c r="C447" s="27"/>
    </row>
    <row r="448">
      <c r="C448" s="27"/>
    </row>
    <row r="449">
      <c r="C449" s="27"/>
    </row>
    <row r="450">
      <c r="C450" s="27"/>
    </row>
    <row r="451">
      <c r="C451" s="27"/>
    </row>
    <row r="452">
      <c r="C452" s="27"/>
    </row>
    <row r="453">
      <c r="C453" s="27"/>
    </row>
    <row r="454">
      <c r="C454" s="27"/>
    </row>
    <row r="455">
      <c r="C455" s="27"/>
    </row>
    <row r="456">
      <c r="C456" s="27"/>
    </row>
    <row r="457">
      <c r="C457" s="27"/>
    </row>
    <row r="458">
      <c r="C458" s="27"/>
    </row>
    <row r="459">
      <c r="C459" s="27"/>
    </row>
    <row r="460">
      <c r="C460" s="27"/>
    </row>
    <row r="461">
      <c r="C461" s="27"/>
    </row>
    <row r="462">
      <c r="C462" s="27"/>
    </row>
    <row r="463">
      <c r="C463" s="27"/>
    </row>
    <row r="464">
      <c r="C464" s="27"/>
    </row>
    <row r="465">
      <c r="C465" s="27"/>
    </row>
    <row r="466">
      <c r="C466" s="27"/>
    </row>
    <row r="467">
      <c r="C467" s="27"/>
    </row>
    <row r="468">
      <c r="C468" s="27"/>
    </row>
    <row r="469">
      <c r="C469" s="27"/>
    </row>
    <row r="470">
      <c r="C470" s="27"/>
    </row>
    <row r="471">
      <c r="C471" s="27"/>
    </row>
    <row r="472">
      <c r="C472" s="27"/>
    </row>
    <row r="473">
      <c r="C473" s="27"/>
    </row>
    <row r="474">
      <c r="C474" s="27"/>
    </row>
    <row r="475">
      <c r="C475" s="27"/>
    </row>
    <row r="476">
      <c r="C476" s="27"/>
    </row>
    <row r="477">
      <c r="C477" s="27"/>
    </row>
    <row r="478">
      <c r="C478" s="27"/>
    </row>
    <row r="479">
      <c r="C479" s="27"/>
    </row>
    <row r="480">
      <c r="C480" s="27"/>
    </row>
    <row r="481">
      <c r="C481" s="27"/>
    </row>
    <row r="482">
      <c r="C482" s="27"/>
    </row>
    <row r="483">
      <c r="C483" s="27"/>
    </row>
    <row r="484">
      <c r="C484" s="27"/>
    </row>
    <row r="485">
      <c r="C485" s="27"/>
    </row>
    <row r="486">
      <c r="C486" s="27"/>
    </row>
    <row r="487">
      <c r="C487" s="27"/>
    </row>
    <row r="488">
      <c r="C488" s="27"/>
    </row>
    <row r="489">
      <c r="C489" s="27"/>
    </row>
    <row r="490">
      <c r="C490" s="27"/>
    </row>
    <row r="491">
      <c r="C491" s="27"/>
    </row>
    <row r="492">
      <c r="C492" s="27"/>
    </row>
    <row r="493">
      <c r="C493" s="27"/>
    </row>
    <row r="494">
      <c r="C494" s="27"/>
    </row>
    <row r="495">
      <c r="C495" s="27"/>
    </row>
    <row r="496">
      <c r="C496" s="27"/>
    </row>
    <row r="497">
      <c r="C497" s="27"/>
    </row>
    <row r="498">
      <c r="C498" s="27"/>
    </row>
    <row r="499">
      <c r="C499" s="27"/>
    </row>
    <row r="500">
      <c r="C500" s="27"/>
    </row>
    <row r="501">
      <c r="C501" s="27"/>
    </row>
    <row r="502">
      <c r="C502" s="27"/>
    </row>
    <row r="503">
      <c r="C503" s="27"/>
    </row>
    <row r="504">
      <c r="C504" s="27"/>
    </row>
    <row r="505">
      <c r="C505" s="27"/>
    </row>
    <row r="506">
      <c r="C506" s="27"/>
    </row>
    <row r="507">
      <c r="C507" s="27"/>
    </row>
    <row r="508">
      <c r="C508" s="27"/>
    </row>
    <row r="509">
      <c r="C509" s="27"/>
    </row>
    <row r="510">
      <c r="C510" s="27"/>
    </row>
    <row r="511">
      <c r="C511" s="27"/>
    </row>
    <row r="512">
      <c r="C512" s="27"/>
    </row>
    <row r="513">
      <c r="C513" s="27"/>
    </row>
    <row r="514">
      <c r="C514" s="27"/>
    </row>
    <row r="515">
      <c r="C515" s="27"/>
    </row>
    <row r="516">
      <c r="C516" s="27"/>
    </row>
    <row r="517">
      <c r="C517" s="27"/>
    </row>
    <row r="518">
      <c r="C518" s="27"/>
    </row>
    <row r="519">
      <c r="C519" s="27"/>
    </row>
    <row r="520">
      <c r="C520" s="27"/>
    </row>
    <row r="521">
      <c r="C521" s="27"/>
    </row>
    <row r="522">
      <c r="C522" s="27"/>
    </row>
    <row r="523">
      <c r="C523" s="27"/>
    </row>
    <row r="524">
      <c r="C524" s="27"/>
    </row>
    <row r="525">
      <c r="C525" s="27"/>
    </row>
    <row r="526">
      <c r="C526" s="27"/>
    </row>
    <row r="527">
      <c r="C527" s="27"/>
    </row>
    <row r="528">
      <c r="C528" s="27"/>
    </row>
    <row r="529">
      <c r="C529" s="27"/>
    </row>
    <row r="530">
      <c r="C530" s="27"/>
    </row>
    <row r="531">
      <c r="C531" s="27"/>
    </row>
    <row r="532">
      <c r="C532" s="27"/>
    </row>
    <row r="533">
      <c r="C533" s="27"/>
    </row>
    <row r="534">
      <c r="C534" s="27"/>
    </row>
    <row r="535">
      <c r="C535" s="27"/>
    </row>
    <row r="536">
      <c r="C536" s="27"/>
    </row>
    <row r="537">
      <c r="C537" s="27"/>
    </row>
    <row r="538">
      <c r="C538" s="27"/>
    </row>
    <row r="539">
      <c r="C539" s="27"/>
    </row>
    <row r="540">
      <c r="C540" s="27"/>
    </row>
    <row r="541">
      <c r="C541" s="27"/>
    </row>
    <row r="542">
      <c r="C542" s="27"/>
    </row>
    <row r="543">
      <c r="C543" s="27"/>
    </row>
    <row r="544">
      <c r="C544" s="27"/>
    </row>
    <row r="545">
      <c r="C545" s="27"/>
    </row>
    <row r="546">
      <c r="C546" s="27"/>
    </row>
    <row r="547">
      <c r="C547" s="27"/>
    </row>
    <row r="548">
      <c r="C548" s="27"/>
    </row>
    <row r="549">
      <c r="C549" s="27"/>
    </row>
    <row r="550">
      <c r="C550" s="27"/>
    </row>
    <row r="551">
      <c r="C551" s="27"/>
    </row>
    <row r="552">
      <c r="C552" s="27"/>
    </row>
    <row r="553">
      <c r="C553" s="27"/>
    </row>
    <row r="554">
      <c r="C554" s="27"/>
    </row>
    <row r="555">
      <c r="C555" s="27"/>
    </row>
    <row r="556">
      <c r="C556" s="27"/>
    </row>
    <row r="557">
      <c r="C557" s="27"/>
    </row>
    <row r="558">
      <c r="C558" s="27"/>
    </row>
    <row r="559">
      <c r="C559" s="27"/>
    </row>
    <row r="560">
      <c r="C560" s="27"/>
    </row>
    <row r="561">
      <c r="C561" s="27"/>
    </row>
    <row r="562">
      <c r="C562" s="27"/>
    </row>
    <row r="563">
      <c r="C563" s="27"/>
    </row>
    <row r="564">
      <c r="C564" s="27"/>
    </row>
    <row r="565">
      <c r="C565" s="27"/>
    </row>
    <row r="566">
      <c r="C566" s="27"/>
    </row>
    <row r="567">
      <c r="C567" s="27"/>
    </row>
    <row r="568">
      <c r="C568" s="27"/>
    </row>
    <row r="569">
      <c r="C569" s="27"/>
    </row>
    <row r="570">
      <c r="C570" s="27"/>
    </row>
    <row r="571">
      <c r="C571" s="27"/>
    </row>
    <row r="572">
      <c r="C572" s="27"/>
    </row>
    <row r="573">
      <c r="C573" s="27"/>
    </row>
    <row r="574">
      <c r="C574" s="27"/>
    </row>
    <row r="575">
      <c r="C575" s="27"/>
    </row>
    <row r="576">
      <c r="C576" s="27"/>
    </row>
    <row r="577">
      <c r="C577" s="27"/>
    </row>
    <row r="578">
      <c r="C578" s="27"/>
    </row>
    <row r="579">
      <c r="C579" s="27"/>
    </row>
    <row r="580">
      <c r="C580" s="27"/>
    </row>
    <row r="581">
      <c r="C581" s="27"/>
    </row>
    <row r="582">
      <c r="C582" s="27"/>
    </row>
    <row r="583">
      <c r="C583" s="27"/>
    </row>
    <row r="584">
      <c r="C584" s="27"/>
    </row>
    <row r="585">
      <c r="C585" s="27"/>
    </row>
    <row r="586">
      <c r="C586" s="27"/>
    </row>
    <row r="587">
      <c r="C587" s="27"/>
    </row>
    <row r="588">
      <c r="C588" s="27"/>
    </row>
    <row r="589">
      <c r="C589" s="27"/>
    </row>
    <row r="590">
      <c r="C590" s="27"/>
    </row>
    <row r="591">
      <c r="C591" s="27"/>
    </row>
    <row r="592">
      <c r="C592" s="27"/>
    </row>
    <row r="593">
      <c r="C593" s="27"/>
    </row>
    <row r="594">
      <c r="C594" s="27"/>
    </row>
    <row r="595">
      <c r="C595" s="27"/>
    </row>
    <row r="596">
      <c r="C596" s="27"/>
    </row>
    <row r="597">
      <c r="C597" s="27"/>
    </row>
    <row r="598">
      <c r="C598" s="27"/>
    </row>
    <row r="599">
      <c r="C599" s="27"/>
    </row>
    <row r="600">
      <c r="C600" s="27"/>
    </row>
    <row r="601">
      <c r="C601" s="27"/>
    </row>
    <row r="602">
      <c r="C602" s="27"/>
    </row>
    <row r="603">
      <c r="C603" s="27"/>
    </row>
    <row r="604">
      <c r="C604" s="27"/>
    </row>
    <row r="605">
      <c r="C605" s="27"/>
    </row>
    <row r="606">
      <c r="C606" s="27"/>
    </row>
    <row r="607">
      <c r="C607" s="27"/>
    </row>
    <row r="608">
      <c r="C608" s="27"/>
    </row>
    <row r="609">
      <c r="C609" s="27"/>
    </row>
    <row r="610">
      <c r="C610" s="27"/>
    </row>
    <row r="611">
      <c r="C611" s="27"/>
    </row>
    <row r="612">
      <c r="C612" s="27"/>
    </row>
    <row r="613">
      <c r="C613" s="27"/>
    </row>
    <row r="614">
      <c r="C614" s="27"/>
    </row>
    <row r="615">
      <c r="C615" s="27"/>
    </row>
    <row r="616">
      <c r="C616" s="27"/>
    </row>
    <row r="617">
      <c r="C617" s="27"/>
    </row>
    <row r="618">
      <c r="C618" s="27"/>
    </row>
    <row r="619">
      <c r="C619" s="27"/>
    </row>
    <row r="620">
      <c r="C620" s="27"/>
    </row>
    <row r="621">
      <c r="C621" s="27"/>
    </row>
    <row r="622">
      <c r="C622" s="27"/>
    </row>
    <row r="623">
      <c r="C623" s="27"/>
    </row>
    <row r="624">
      <c r="C624" s="27"/>
    </row>
    <row r="625">
      <c r="C625" s="27"/>
    </row>
    <row r="626">
      <c r="C626" s="27"/>
    </row>
    <row r="627">
      <c r="C627" s="27"/>
    </row>
    <row r="628">
      <c r="C628" s="27"/>
    </row>
    <row r="629">
      <c r="C629" s="27"/>
    </row>
    <row r="630">
      <c r="C630" s="27"/>
    </row>
    <row r="631">
      <c r="C631" s="27"/>
    </row>
    <row r="632">
      <c r="C632" s="27"/>
    </row>
    <row r="633">
      <c r="C633" s="27"/>
    </row>
    <row r="634">
      <c r="C634" s="27"/>
    </row>
    <row r="635">
      <c r="C635" s="27"/>
    </row>
    <row r="636">
      <c r="C636" s="27"/>
    </row>
    <row r="637">
      <c r="C637" s="27"/>
    </row>
    <row r="638">
      <c r="C638" s="27"/>
    </row>
    <row r="639">
      <c r="C639" s="27"/>
    </row>
    <row r="640">
      <c r="C640" s="27"/>
    </row>
    <row r="641">
      <c r="C641" s="27"/>
    </row>
    <row r="642">
      <c r="C642" s="27"/>
    </row>
    <row r="643">
      <c r="C643" s="27"/>
    </row>
    <row r="644">
      <c r="C644" s="27"/>
    </row>
    <row r="645">
      <c r="C645" s="27"/>
    </row>
    <row r="646">
      <c r="C646" s="27"/>
    </row>
    <row r="647">
      <c r="C647" s="27"/>
    </row>
    <row r="648">
      <c r="C648" s="27"/>
    </row>
    <row r="649">
      <c r="C649" s="27"/>
    </row>
    <row r="650">
      <c r="C650" s="27"/>
    </row>
    <row r="651">
      <c r="C651" s="27"/>
    </row>
    <row r="652">
      <c r="C652" s="27"/>
    </row>
    <row r="653">
      <c r="C653" s="27"/>
    </row>
    <row r="654">
      <c r="C654" s="27"/>
    </row>
    <row r="655">
      <c r="C655" s="27"/>
    </row>
    <row r="656">
      <c r="C656" s="27"/>
    </row>
    <row r="657">
      <c r="C657" s="27"/>
    </row>
    <row r="658">
      <c r="C658" s="27"/>
    </row>
    <row r="659">
      <c r="C659" s="27"/>
    </row>
    <row r="660">
      <c r="C660" s="27"/>
    </row>
    <row r="661">
      <c r="C661" s="27"/>
    </row>
    <row r="662">
      <c r="C662" s="27"/>
    </row>
    <row r="663">
      <c r="C663" s="27"/>
    </row>
    <row r="664">
      <c r="C664" s="27"/>
    </row>
    <row r="665">
      <c r="C665" s="27"/>
    </row>
    <row r="666">
      <c r="C666" s="27"/>
    </row>
    <row r="667">
      <c r="C667" s="27"/>
    </row>
    <row r="668">
      <c r="C668" s="27"/>
    </row>
    <row r="669">
      <c r="C669" s="27"/>
    </row>
    <row r="670">
      <c r="C670" s="27"/>
    </row>
    <row r="671">
      <c r="C671" s="27"/>
    </row>
    <row r="672">
      <c r="C672" s="27"/>
    </row>
    <row r="673">
      <c r="C673" s="27"/>
    </row>
    <row r="674">
      <c r="C674" s="27"/>
    </row>
    <row r="675">
      <c r="C675" s="27"/>
    </row>
    <row r="676">
      <c r="C676" s="27"/>
    </row>
    <row r="677">
      <c r="C677" s="27"/>
    </row>
    <row r="678">
      <c r="C678" s="27"/>
    </row>
    <row r="679">
      <c r="C679" s="27"/>
    </row>
    <row r="680">
      <c r="C680" s="27"/>
    </row>
    <row r="681">
      <c r="C681" s="27"/>
    </row>
    <row r="682">
      <c r="C682" s="27"/>
    </row>
    <row r="683">
      <c r="C683" s="27"/>
    </row>
    <row r="684">
      <c r="C684" s="27"/>
    </row>
    <row r="685">
      <c r="C685" s="27"/>
    </row>
    <row r="686">
      <c r="C686" s="27"/>
    </row>
    <row r="687">
      <c r="C687" s="27"/>
    </row>
    <row r="688">
      <c r="C688" s="27"/>
    </row>
    <row r="689">
      <c r="C689" s="27"/>
    </row>
    <row r="690">
      <c r="C690" s="27"/>
    </row>
    <row r="691">
      <c r="C691" s="27"/>
    </row>
    <row r="692">
      <c r="C692" s="27"/>
    </row>
    <row r="693">
      <c r="C693" s="27"/>
    </row>
    <row r="694">
      <c r="C694" s="27"/>
    </row>
    <row r="695">
      <c r="C695" s="27"/>
    </row>
    <row r="696">
      <c r="C696" s="27"/>
    </row>
    <row r="697">
      <c r="C697" s="27"/>
    </row>
    <row r="698">
      <c r="C698" s="27"/>
    </row>
    <row r="699">
      <c r="C699" s="27"/>
    </row>
    <row r="700">
      <c r="C700" s="27"/>
    </row>
    <row r="701">
      <c r="C701" s="27"/>
    </row>
    <row r="702">
      <c r="C702" s="27"/>
    </row>
    <row r="703">
      <c r="C703" s="27"/>
    </row>
    <row r="704">
      <c r="C704" s="27"/>
    </row>
    <row r="705">
      <c r="C705" s="27"/>
    </row>
    <row r="706">
      <c r="C706" s="27"/>
    </row>
    <row r="707">
      <c r="C707" s="27"/>
    </row>
    <row r="708">
      <c r="C708" s="27"/>
    </row>
    <row r="709">
      <c r="C709" s="27"/>
    </row>
    <row r="710">
      <c r="C710" s="27"/>
    </row>
    <row r="711">
      <c r="C711" s="27"/>
    </row>
    <row r="712">
      <c r="C712" s="27"/>
    </row>
    <row r="713">
      <c r="C713" s="27"/>
    </row>
    <row r="714">
      <c r="C714" s="27"/>
    </row>
    <row r="715">
      <c r="C715" s="27"/>
    </row>
    <row r="716">
      <c r="C716" s="27"/>
    </row>
    <row r="717">
      <c r="C717" s="27"/>
    </row>
    <row r="718">
      <c r="C718" s="27"/>
    </row>
    <row r="719">
      <c r="C719" s="27"/>
    </row>
    <row r="720">
      <c r="C720" s="27"/>
    </row>
    <row r="721">
      <c r="C721" s="27"/>
    </row>
    <row r="722">
      <c r="C722" s="27"/>
    </row>
    <row r="723">
      <c r="C723" s="27"/>
    </row>
    <row r="724">
      <c r="C724" s="27"/>
    </row>
    <row r="725">
      <c r="C725" s="27"/>
    </row>
    <row r="726">
      <c r="C726" s="27"/>
    </row>
    <row r="727">
      <c r="C727" s="27"/>
    </row>
    <row r="728">
      <c r="C728" s="27"/>
    </row>
    <row r="729">
      <c r="C729" s="27"/>
    </row>
    <row r="730">
      <c r="C730" s="27"/>
    </row>
    <row r="731">
      <c r="C731" s="27"/>
    </row>
    <row r="732">
      <c r="C732" s="27"/>
    </row>
    <row r="733">
      <c r="C733" s="27"/>
    </row>
    <row r="734">
      <c r="C734" s="27"/>
    </row>
    <row r="735">
      <c r="C735" s="27"/>
    </row>
    <row r="736">
      <c r="C736" s="27"/>
    </row>
    <row r="737">
      <c r="C737" s="27"/>
    </row>
    <row r="738">
      <c r="C738" s="27"/>
    </row>
    <row r="739">
      <c r="C739" s="27"/>
    </row>
    <row r="740">
      <c r="C740" s="27"/>
    </row>
    <row r="741">
      <c r="C741" s="27"/>
    </row>
    <row r="742">
      <c r="C742" s="27"/>
    </row>
    <row r="743">
      <c r="C743" s="27"/>
    </row>
    <row r="744">
      <c r="C744" s="27"/>
    </row>
    <row r="745">
      <c r="C745" s="27"/>
    </row>
    <row r="746">
      <c r="C746" s="27"/>
    </row>
    <row r="747">
      <c r="C747" s="27"/>
    </row>
    <row r="748">
      <c r="C748" s="27"/>
    </row>
    <row r="749">
      <c r="C749" s="27"/>
    </row>
    <row r="750">
      <c r="C750" s="27"/>
    </row>
    <row r="751">
      <c r="C751" s="27"/>
    </row>
    <row r="752">
      <c r="C752" s="27"/>
    </row>
    <row r="753">
      <c r="C753" s="27"/>
    </row>
    <row r="754">
      <c r="C754" s="27"/>
    </row>
    <row r="755">
      <c r="C755" s="27"/>
    </row>
    <row r="756">
      <c r="C756" s="27"/>
    </row>
    <row r="757">
      <c r="C757" s="27"/>
    </row>
    <row r="758">
      <c r="C758" s="27"/>
    </row>
    <row r="759">
      <c r="C759" s="27"/>
    </row>
    <row r="760">
      <c r="C760" s="27"/>
    </row>
    <row r="761">
      <c r="C761" s="27"/>
    </row>
    <row r="762">
      <c r="C762" s="27"/>
    </row>
    <row r="763">
      <c r="C763" s="27"/>
    </row>
    <row r="764">
      <c r="C764" s="27"/>
    </row>
    <row r="765">
      <c r="C765" s="27"/>
    </row>
    <row r="766">
      <c r="C766" s="27"/>
    </row>
    <row r="767">
      <c r="C767" s="27"/>
    </row>
    <row r="768">
      <c r="C768" s="27"/>
    </row>
    <row r="769">
      <c r="C769" s="27"/>
    </row>
    <row r="770">
      <c r="C770" s="27"/>
    </row>
    <row r="771">
      <c r="C771" s="27"/>
    </row>
    <row r="772">
      <c r="C772" s="27"/>
    </row>
    <row r="773">
      <c r="C773" s="27"/>
    </row>
    <row r="774">
      <c r="C774" s="27"/>
    </row>
    <row r="775">
      <c r="C775" s="27"/>
    </row>
    <row r="776">
      <c r="C776" s="27"/>
    </row>
    <row r="777">
      <c r="C777" s="27"/>
    </row>
    <row r="778">
      <c r="C778" s="27"/>
    </row>
    <row r="779">
      <c r="C779" s="27"/>
    </row>
    <row r="780">
      <c r="C780" s="27"/>
    </row>
    <row r="781">
      <c r="C781" s="27"/>
    </row>
    <row r="782">
      <c r="C782" s="27"/>
    </row>
    <row r="783">
      <c r="C783" s="27"/>
    </row>
    <row r="784">
      <c r="C784" s="27"/>
    </row>
    <row r="785">
      <c r="C785" s="27"/>
    </row>
    <row r="786">
      <c r="C786" s="27"/>
    </row>
    <row r="787">
      <c r="C787" s="27"/>
    </row>
    <row r="788">
      <c r="C788" s="27"/>
    </row>
    <row r="789">
      <c r="C789" s="27"/>
    </row>
    <row r="790">
      <c r="C790" s="27"/>
    </row>
    <row r="791">
      <c r="C791" s="27"/>
    </row>
    <row r="792">
      <c r="C792" s="27"/>
    </row>
    <row r="793">
      <c r="C793" s="27"/>
    </row>
    <row r="794">
      <c r="C794" s="27"/>
    </row>
    <row r="795">
      <c r="C795" s="27"/>
    </row>
    <row r="796">
      <c r="C796" s="27"/>
    </row>
    <row r="797">
      <c r="C797" s="27"/>
    </row>
    <row r="798">
      <c r="C798" s="27"/>
    </row>
    <row r="799">
      <c r="C799" s="27"/>
    </row>
    <row r="800">
      <c r="C800" s="27"/>
    </row>
    <row r="801">
      <c r="C801" s="27"/>
    </row>
    <row r="802">
      <c r="C802" s="27"/>
    </row>
    <row r="803">
      <c r="C803" s="27"/>
    </row>
    <row r="804">
      <c r="C804" s="27"/>
    </row>
    <row r="805">
      <c r="C805" s="27"/>
    </row>
    <row r="806">
      <c r="C806" s="27"/>
    </row>
    <row r="807">
      <c r="C807" s="27"/>
    </row>
    <row r="808">
      <c r="C808" s="27"/>
    </row>
    <row r="809">
      <c r="C809" s="27"/>
    </row>
    <row r="810">
      <c r="C810" s="27"/>
    </row>
    <row r="811">
      <c r="C811" s="27"/>
    </row>
    <row r="812">
      <c r="C812" s="27"/>
    </row>
    <row r="813">
      <c r="C813" s="27"/>
    </row>
    <row r="814">
      <c r="C814" s="27"/>
    </row>
    <row r="815">
      <c r="C815" s="27"/>
    </row>
    <row r="816">
      <c r="C816" s="27"/>
    </row>
    <row r="817">
      <c r="C817" s="27"/>
    </row>
    <row r="818">
      <c r="C818" s="27"/>
    </row>
    <row r="819">
      <c r="C819" s="27"/>
    </row>
    <row r="820">
      <c r="C820" s="27"/>
    </row>
    <row r="821">
      <c r="C821" s="27"/>
    </row>
    <row r="822">
      <c r="C822" s="27"/>
    </row>
    <row r="823">
      <c r="C823" s="27"/>
    </row>
    <row r="824">
      <c r="C824" s="27"/>
    </row>
    <row r="825">
      <c r="C825" s="27"/>
    </row>
    <row r="826">
      <c r="C826" s="27"/>
    </row>
    <row r="827">
      <c r="C827" s="27"/>
    </row>
    <row r="828">
      <c r="C828" s="27"/>
    </row>
    <row r="829">
      <c r="C829" s="27"/>
    </row>
    <row r="830">
      <c r="C830" s="27"/>
    </row>
    <row r="831">
      <c r="C831" s="27"/>
    </row>
    <row r="832">
      <c r="C832" s="27"/>
    </row>
    <row r="833">
      <c r="C833" s="27"/>
    </row>
    <row r="834">
      <c r="C834" s="27"/>
    </row>
    <row r="835">
      <c r="C835" s="27"/>
    </row>
    <row r="836">
      <c r="C836" s="27"/>
    </row>
    <row r="837">
      <c r="C837" s="27"/>
    </row>
    <row r="838">
      <c r="C838" s="27"/>
    </row>
    <row r="839">
      <c r="C839" s="27"/>
    </row>
    <row r="840">
      <c r="C840" s="27"/>
    </row>
    <row r="841">
      <c r="C841" s="27"/>
    </row>
    <row r="842">
      <c r="C842" s="27"/>
    </row>
    <row r="843">
      <c r="C843" s="27"/>
    </row>
    <row r="844">
      <c r="C844" s="27"/>
    </row>
    <row r="845">
      <c r="C845" s="27"/>
    </row>
    <row r="846">
      <c r="C846" s="27"/>
    </row>
    <row r="847">
      <c r="C847" s="27"/>
    </row>
    <row r="848">
      <c r="C848" s="27"/>
    </row>
    <row r="849">
      <c r="C849" s="27"/>
    </row>
    <row r="850">
      <c r="C850" s="27"/>
    </row>
    <row r="851">
      <c r="C851" s="27"/>
    </row>
    <row r="852">
      <c r="C852" s="27"/>
    </row>
    <row r="853">
      <c r="C853" s="27"/>
    </row>
    <row r="854">
      <c r="C854" s="27"/>
    </row>
    <row r="855">
      <c r="C855" s="27"/>
    </row>
    <row r="856">
      <c r="C856" s="27"/>
    </row>
    <row r="857">
      <c r="C857" s="27"/>
    </row>
    <row r="858">
      <c r="C858" s="27"/>
    </row>
    <row r="859">
      <c r="C859" s="27"/>
    </row>
    <row r="860">
      <c r="C860" s="27"/>
    </row>
    <row r="861">
      <c r="C861" s="27"/>
    </row>
    <row r="862">
      <c r="C862" s="27"/>
    </row>
    <row r="863">
      <c r="C863" s="27"/>
    </row>
    <row r="864">
      <c r="C864" s="27"/>
    </row>
    <row r="865">
      <c r="C865" s="27"/>
    </row>
    <row r="866">
      <c r="C866" s="27"/>
    </row>
    <row r="867">
      <c r="C867" s="27"/>
    </row>
    <row r="868">
      <c r="C868" s="27"/>
    </row>
    <row r="869">
      <c r="C869" s="27"/>
    </row>
    <row r="870">
      <c r="C870" s="27"/>
    </row>
    <row r="871">
      <c r="C871" s="27"/>
    </row>
    <row r="872">
      <c r="C872" s="27"/>
    </row>
    <row r="873">
      <c r="C873" s="27"/>
    </row>
    <row r="874">
      <c r="C874" s="27"/>
    </row>
    <row r="875">
      <c r="C875" s="27"/>
    </row>
    <row r="876">
      <c r="C876" s="27"/>
    </row>
    <row r="877">
      <c r="C877" s="27"/>
    </row>
    <row r="878">
      <c r="C878" s="27"/>
    </row>
    <row r="879">
      <c r="C879" s="27"/>
    </row>
    <row r="880">
      <c r="C880" s="27"/>
    </row>
    <row r="881">
      <c r="C881" s="27"/>
    </row>
    <row r="882">
      <c r="C882" s="27"/>
    </row>
    <row r="883">
      <c r="C883" s="27"/>
    </row>
    <row r="884">
      <c r="C884" s="27"/>
    </row>
    <row r="885">
      <c r="C885" s="27"/>
    </row>
    <row r="886">
      <c r="C886" s="27"/>
    </row>
    <row r="887">
      <c r="C887" s="27"/>
    </row>
    <row r="888">
      <c r="C888" s="27"/>
    </row>
    <row r="889">
      <c r="C889" s="27"/>
    </row>
    <row r="890">
      <c r="C890" s="27"/>
    </row>
    <row r="891">
      <c r="C891" s="27"/>
    </row>
    <row r="892">
      <c r="C892" s="27"/>
    </row>
    <row r="893">
      <c r="C893" s="27"/>
    </row>
    <row r="894">
      <c r="C894" s="27"/>
    </row>
    <row r="895">
      <c r="C895" s="27"/>
    </row>
    <row r="896">
      <c r="C896" s="27"/>
    </row>
    <row r="897">
      <c r="C897" s="27"/>
    </row>
    <row r="898">
      <c r="C898" s="27"/>
    </row>
    <row r="899">
      <c r="C899" s="27"/>
    </row>
    <row r="900">
      <c r="C900" s="27"/>
    </row>
    <row r="901">
      <c r="C901" s="27"/>
    </row>
    <row r="902">
      <c r="C902" s="27"/>
    </row>
    <row r="903">
      <c r="C903" s="27"/>
    </row>
    <row r="904">
      <c r="C904" s="27"/>
    </row>
    <row r="905">
      <c r="C905" s="27"/>
    </row>
    <row r="906">
      <c r="C906" s="27"/>
    </row>
    <row r="907">
      <c r="C907" s="27"/>
    </row>
    <row r="908">
      <c r="C908" s="27"/>
    </row>
    <row r="909">
      <c r="C909" s="27"/>
    </row>
    <row r="910">
      <c r="C910" s="27"/>
    </row>
    <row r="911">
      <c r="C911" s="27"/>
    </row>
    <row r="912">
      <c r="C912" s="27"/>
    </row>
    <row r="913">
      <c r="C913" s="27"/>
    </row>
    <row r="914">
      <c r="C914" s="27"/>
    </row>
    <row r="915">
      <c r="C915" s="27"/>
    </row>
    <row r="916">
      <c r="C916" s="27"/>
    </row>
    <row r="917">
      <c r="C917" s="27"/>
    </row>
    <row r="918">
      <c r="C918" s="27"/>
    </row>
    <row r="919">
      <c r="C919" s="27"/>
    </row>
    <row r="920">
      <c r="C920" s="27"/>
    </row>
    <row r="921">
      <c r="C921" s="27"/>
    </row>
    <row r="922">
      <c r="C922" s="27"/>
    </row>
    <row r="923">
      <c r="C923" s="27"/>
    </row>
    <row r="924">
      <c r="C924" s="27"/>
    </row>
    <row r="925">
      <c r="C925" s="27"/>
    </row>
    <row r="926">
      <c r="C926" s="27"/>
    </row>
    <row r="927">
      <c r="C927" s="27"/>
    </row>
    <row r="928">
      <c r="C928" s="27"/>
    </row>
    <row r="929">
      <c r="C929" s="27"/>
    </row>
    <row r="930">
      <c r="C930" s="27"/>
    </row>
    <row r="931">
      <c r="C931" s="27"/>
    </row>
    <row r="932">
      <c r="C932" s="27"/>
    </row>
    <row r="933">
      <c r="C933" s="27"/>
    </row>
    <row r="934">
      <c r="C934" s="27"/>
    </row>
    <row r="935">
      <c r="C935" s="27"/>
    </row>
    <row r="936">
      <c r="C936" s="27"/>
    </row>
    <row r="937">
      <c r="C937" s="27"/>
    </row>
    <row r="938">
      <c r="C938" s="27"/>
    </row>
    <row r="939">
      <c r="C939" s="27"/>
    </row>
    <row r="940">
      <c r="C940" s="27"/>
    </row>
    <row r="941">
      <c r="C941" s="27"/>
    </row>
    <row r="942">
      <c r="C942" s="27"/>
    </row>
    <row r="943">
      <c r="C943" s="27"/>
    </row>
    <row r="944">
      <c r="C944" s="27"/>
    </row>
    <row r="945">
      <c r="C945" s="27"/>
    </row>
    <row r="946">
      <c r="C946" s="27"/>
    </row>
    <row r="947">
      <c r="C947" s="27"/>
    </row>
    <row r="948">
      <c r="C948" s="27"/>
    </row>
    <row r="949">
      <c r="C949" s="27"/>
    </row>
    <row r="950">
      <c r="C950" s="27"/>
    </row>
    <row r="951">
      <c r="C951" s="27"/>
    </row>
    <row r="952">
      <c r="C952" s="27"/>
    </row>
    <row r="953">
      <c r="C953" s="27"/>
    </row>
    <row r="954">
      <c r="C954" s="27"/>
    </row>
    <row r="955">
      <c r="C955" s="27"/>
    </row>
    <row r="956">
      <c r="C956" s="27"/>
    </row>
    <row r="957">
      <c r="C957" s="27"/>
    </row>
    <row r="958">
      <c r="C958" s="27"/>
    </row>
    <row r="959">
      <c r="C959" s="27"/>
    </row>
    <row r="960">
      <c r="C960" s="27"/>
    </row>
    <row r="961">
      <c r="C961" s="27"/>
    </row>
    <row r="962">
      <c r="C962" s="27"/>
    </row>
    <row r="963">
      <c r="C963" s="27"/>
    </row>
    <row r="964">
      <c r="C964" s="27"/>
    </row>
    <row r="965">
      <c r="C965" s="27"/>
    </row>
    <row r="966">
      <c r="C966" s="27"/>
    </row>
    <row r="967">
      <c r="C967" s="27"/>
    </row>
    <row r="968">
      <c r="C968" s="27"/>
    </row>
    <row r="969">
      <c r="C969" s="27"/>
    </row>
    <row r="970">
      <c r="C970" s="27"/>
    </row>
    <row r="971">
      <c r="C971" s="27"/>
    </row>
    <row r="972">
      <c r="C972" s="27"/>
    </row>
    <row r="973">
      <c r="C973" s="27"/>
    </row>
    <row r="974">
      <c r="C974" s="27"/>
    </row>
    <row r="975">
      <c r="C975" s="27"/>
    </row>
    <row r="976">
      <c r="C976" s="27"/>
    </row>
    <row r="977">
      <c r="C977" s="27"/>
    </row>
    <row r="978">
      <c r="C978" s="27"/>
    </row>
    <row r="979">
      <c r="C979" s="27"/>
    </row>
    <row r="980">
      <c r="C980" s="27"/>
    </row>
    <row r="981">
      <c r="C981" s="27"/>
    </row>
    <row r="982">
      <c r="C982" s="27"/>
    </row>
    <row r="983">
      <c r="C983" s="27"/>
    </row>
    <row r="984">
      <c r="C984" s="27"/>
    </row>
    <row r="985">
      <c r="C985" s="27"/>
    </row>
    <row r="986">
      <c r="C986" s="27"/>
    </row>
    <row r="987">
      <c r="C987" s="27"/>
    </row>
    <row r="988">
      <c r="C988" s="27"/>
    </row>
    <row r="989">
      <c r="C989" s="27"/>
    </row>
    <row r="990">
      <c r="C990" s="27"/>
    </row>
    <row r="991">
      <c r="C991" s="27"/>
    </row>
    <row r="992">
      <c r="C992" s="27"/>
    </row>
    <row r="993">
      <c r="C993" s="27"/>
    </row>
    <row r="994">
      <c r="C994" s="27"/>
    </row>
    <row r="995">
      <c r="C995" s="27"/>
    </row>
    <row r="996">
      <c r="C996" s="27"/>
    </row>
    <row r="997">
      <c r="C997" s="27"/>
    </row>
    <row r="998">
      <c r="C998" s="27"/>
    </row>
    <row r="999">
      <c r="C999" s="27"/>
    </row>
    <row r="1000">
      <c r="C1000" s="27"/>
    </row>
    <row r="1001">
      <c r="C1001" s="27"/>
    </row>
  </sheetData>
  <drawing r:id="rId1"/>
</worksheet>
</file>